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edits and Useful Links" sheetId="1" r:id="rId5"/>
    <sheet state="visible" name="Level Up Cost" sheetId="2" r:id="rId6"/>
    <sheet state="visible" name="Talisman Effects" sheetId="3" r:id="rId7"/>
    <sheet state="visible" name="Weapon Effects" sheetId="4" r:id="rId8"/>
    <sheet state="visible" name="Deep Weapon Effects" sheetId="5" r:id="rId9"/>
    <sheet state="visible" name="Relic Effects" sheetId="6" r:id="rId10"/>
    <sheet state="visible" name="Deep Relic Effects" sheetId="7" r:id="rId11"/>
    <sheet state="visible" name="Dormant Powers" sheetId="8" r:id="rId12"/>
    <sheet state="visible" name="Guaranteed Relics" sheetId="9" r:id="rId13"/>
    <sheet state="visible" name="Chalices" sheetId="10" r:id="rId14"/>
    <sheet state="visible" name="Consumable Effects" sheetId="11" r:id="rId15"/>
    <sheet state="visible" name="Character Stats Level 15" sheetId="12" r:id="rId16"/>
    <sheet state="hidden" name="Character Stats Table (Outdated" sheetId="13" r:id="rId17"/>
    <sheet state="visible" name="Nightlord Stats Solo" sheetId="14" r:id="rId18"/>
    <sheet state="visible" name="Nightlord Stats Duo" sheetId="15" r:id="rId19"/>
    <sheet state="visible" name="Nightlord Stats Trio" sheetId="16" r:id="rId20"/>
    <sheet state="visible" name="Everdark Sovereign Stats Solo" sheetId="17" r:id="rId21"/>
    <sheet state="visible" name="Everdark Sovereign Stats Duo" sheetId="18" r:id="rId22"/>
    <sheet state="visible" name="Everdark Sovereign Stats Trio" sheetId="19" r:id="rId23"/>
  </sheets>
  <definedNames>
    <definedName hidden="1" localSheetId="12" name="Z_716F8C4B_7A01_4ACE_9774_80E3C039567C_.wvu.FilterData">'Character Stats Table (Outdated'!$A$2:$Z$122</definedName>
    <definedName hidden="1" localSheetId="12" name="Z_5789FFBA_2C97_441C_B056_EBFB2AE12A76_.wvu.FilterData">'Character Stats Table (Outdated'!$A$2:$Z$122</definedName>
  </definedNames>
  <calcPr/>
  <customWorkbookViews>
    <customWorkbookView activeSheetId="0" maximized="1" windowHeight="0" windowWidth="0" guid="{5789FFBA-2C97-441C-B056-EBFB2AE12A76}" name="Level"/>
    <customWorkbookView activeSheetId="0" maximized="1" windowHeight="0" windowWidth="0" guid="{716F8C4B-7A01-4ACE-9774-80E3C039567C}" name="Nam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0 - No Stagger
1 - Short Stagger
2 - Medium Stagger
3 - Long Stagger
4 - Big Launch Back
5 - Push
6 - Pancake
7 - Launch Back
8 - Minimal Stagger
9 - Air Juggle
10 - Huge Launch Back
11 - Flailing Arms</t>
      </text>
    </comment>
    <comment authorId="0" ref="C23">
      <text>
        <t xml:space="preserve">0 - No Stagger
1 - Short Stagger
2 - Medium Stagger
3 - Long Stagger
4 - Big Launch Back
5 - Push
6 - Pancake
7 - Launch Back
8 - Minimal Stagger
9 - Air Juggle
10 - Huge Launch Back
11 - Flailing Arms</t>
      </text>
    </comment>
  </commentList>
</comments>
</file>

<file path=xl/sharedStrings.xml><?xml version="1.0" encoding="utf-8"?>
<sst xmlns="http://schemas.openxmlformats.org/spreadsheetml/2006/main" count="3074" uniqueCount="1429">
  <si>
    <t>Sheet created by Slay with the assistance of Unlined-Betters, Emerald Wolf, and Penumbra</t>
  </si>
  <si>
    <t>Contact us on Discord to make any changes/additions:</t>
  </si>
  <si>
    <t>Slay: slayworldkiller</t>
  </si>
  <si>
    <t>Unlined-Betters: unlinedbetters</t>
  </si>
  <si>
    <t>Emerald Wolf: emerald_wolf504</t>
  </si>
  <si>
    <t>Penumbra: penpenplon</t>
  </si>
  <si>
    <t>Useful Links</t>
  </si>
  <si>
    <t>Nightreign PvE Stats by Recycle</t>
  </si>
  <si>
    <t>Nightreign Weapon Scaling by Unlined-Betters</t>
  </si>
  <si>
    <t>Nightreign Relic Builds by Unlined-Betters</t>
  </si>
  <si>
    <t>Nightreign Attack Power Calculator by Cryptid Tracker</t>
  </si>
  <si>
    <t>Nightreign Relic Stackability by Emerald Wolf</t>
  </si>
  <si>
    <r>
      <rPr>
        <rFont val="Calibri"/>
        <color rgb="FF56A3F1"/>
        <sz val="12.0"/>
        <u/>
      </rPr>
      <t>Nightreign Stuff for additional information</t>
    </r>
    <r>
      <rPr>
        <rFont val="Calibri"/>
        <sz val="12.0"/>
      </rPr>
      <t xml:space="preserve"> by Kevin</t>
    </r>
  </si>
  <si>
    <t>Level</t>
  </si>
  <si>
    <t>Runes to Next</t>
  </si>
  <si>
    <t>Cost Increase</t>
  </si>
  <si>
    <t>Total Runes</t>
  </si>
  <si>
    <t>Name</t>
  </si>
  <si>
    <t>Effect In-Game</t>
  </si>
  <si>
    <t>Effect</t>
  </si>
  <si>
    <t>Notes</t>
  </si>
  <si>
    <t>Ancestral Spirit's Horn</t>
  </si>
  <si>
    <t>Defeating enemies restores FP</t>
  </si>
  <si>
    <t>Restores 5% of max FP when an enemy is killed</t>
  </si>
  <si>
    <t>Arrow's Reach Talisman</t>
  </si>
  <si>
    <t>Projectile damage drop-off reduced</t>
  </si>
  <si>
    <t>Increases bowDistRate by 50</t>
  </si>
  <si>
    <t>Arrow's Sting Talisman</t>
  </si>
  <si>
    <t>Improved ranged weapon attacks</t>
  </si>
  <si>
    <t>Increases arrow / bolt damage by 1.14x</t>
  </si>
  <si>
    <t>Assassin's Cerulean Dagger</t>
  </si>
  <si>
    <t>Critical hit FP restoration</t>
  </si>
  <si>
    <t>Restores 10% of max FP on critical hits</t>
  </si>
  <si>
    <t>Assassin's Crimson Dagger</t>
  </si>
  <si>
    <t>Critical hit HP restoration</t>
  </si>
  <si>
    <t>Restores 18% of max FP on critical hits</t>
  </si>
  <si>
    <t>Axe Talisman</t>
  </si>
  <si>
    <t>Improved charge attacks</t>
  </si>
  <si>
    <t>Increases charged heavy damage by 1.12x</t>
  </si>
  <si>
    <t>Blessed Dew Talisman</t>
  </si>
  <si>
    <t>Continuous HP recovery</t>
  </si>
  <si>
    <t>Increases HP recovery by 2/s</t>
  </si>
  <si>
    <t>Blue-Feathered Branchsword</t>
  </si>
  <si>
    <t>Improved damage negation at low HP</t>
  </si>
  <si>
    <t>Increases damage negation by 40% when HP is below 40%</t>
  </si>
  <si>
    <t>Boltdrake Talisman</t>
  </si>
  <si>
    <t>Improved lightning damage negation</t>
  </si>
  <si>
    <t>Increases lightning damage negation by 20%</t>
  </si>
  <si>
    <t>Bull-Goat's Talisman</t>
  </si>
  <si>
    <t>Improved poise</t>
  </si>
  <si>
    <t>Decreases incoming poise damage by 0.75x</t>
  </si>
  <si>
    <t>Carian Filgreed Crest</t>
  </si>
  <si>
    <t>Reduced skill FP cost</t>
  </si>
  <si>
    <t>Reduces FP cost of skills by 0.75x</t>
  </si>
  <si>
    <t>Cerulean Amber Medallion</t>
  </si>
  <si>
    <t>Increased maximum FP</t>
  </si>
  <si>
    <t>Increases FP by 1.12x</t>
  </si>
  <si>
    <t>Clarifying Horn Charm</t>
  </si>
  <si>
    <t>Improved sleep and madness resistance</t>
  </si>
  <si>
    <t>Increases sleep and madness resist by 75</t>
  </si>
  <si>
    <t>Claw Talisman</t>
  </si>
  <si>
    <t>Improved jump attacks</t>
  </si>
  <si>
    <t>Increases jump attack damage by 1.12x</t>
  </si>
  <si>
    <t>Companion Jar</t>
  </si>
  <si>
    <t>Improved throwing pots</t>
  </si>
  <si>
    <t>Increases damage of pots by 1.2x</t>
  </si>
  <si>
    <t>Crimson Amber Medallion</t>
  </si>
  <si>
    <t>Increased maximum HP</t>
  </si>
  <si>
    <t>Increases HP by 1.12x</t>
  </si>
  <si>
    <t>Crimson Seed Talisman</t>
  </si>
  <si>
    <t>Improved flask HP restoration</t>
  </si>
  <si>
    <t>Increases HP gained from flasks by 1.2x</t>
  </si>
  <si>
    <t>Crucible Feather Talisman</t>
  </si>
  <si>
    <t>Improved dodging and impaired damage negation</t>
  </si>
  <si>
    <t>+3 iFrames to all dodges in 30FPS or +6 iFrames in 60FPS.  Adds +1 iFrame to Duchess backstep in 30FPS or +2 in 60FPS</t>
  </si>
  <si>
    <t>Does not stack with Improved Dodge Dormant Power or the Recluse's triple Lightning cocktail</t>
  </si>
  <si>
    <t>Curved Sword Talisman</t>
  </si>
  <si>
    <t>Improved guard counters</t>
  </si>
  <si>
    <t>Increases guard counter damage by 1.2x</t>
  </si>
  <si>
    <t>Dagger Talisman</t>
  </si>
  <si>
    <t>Improved critical hits</t>
  </si>
  <si>
    <t>Increases critical damage by 1.24x</t>
  </si>
  <si>
    <t>Dragoncrest Shield Talisman</t>
  </si>
  <si>
    <t>Improved damage negation</t>
  </si>
  <si>
    <t>Increases physical damage negation by 15%</t>
  </si>
  <si>
    <t>Erdtree's Favor</t>
  </si>
  <si>
    <t>Increased maximum HP, increased maximum stamina</t>
  </si>
  <si>
    <t>Increases HP and stamina by 1.07x</t>
  </si>
  <si>
    <t>Faithful's Canvas Talisman</t>
  </si>
  <si>
    <t>Improved incantations</t>
  </si>
  <si>
    <t>Increases damage of incantations by 1.11x</t>
  </si>
  <si>
    <t>Fire Scorpion Charm</t>
  </si>
  <si>
    <t>Improved fire attack power and impaired physical damage negation</t>
  </si>
  <si>
    <t>Increases fire damage by 1.15x and decreases physical damage negation by 10%</t>
  </si>
  <si>
    <t>Flamedrake Talisman</t>
  </si>
  <si>
    <t>Improved fire damage negation</t>
  </si>
  <si>
    <t>Increases fire damage negation by 20%</t>
  </si>
  <si>
    <t>Godfrey Icon</t>
  </si>
  <si>
    <t>Improved charged spells and skills</t>
  </si>
  <si>
    <t>Increases charged skill and spell damage by 1.18x</t>
  </si>
  <si>
    <t>Godskin Swaddling Cloth</t>
  </si>
  <si>
    <t>Successive attack HP restoration</t>
  </si>
  <si>
    <t>Restores 6% of max HP with continuous attacks</t>
  </si>
  <si>
    <t>Gold Scarab</t>
  </si>
  <si>
    <t>More runes from defeated enemies</t>
  </si>
  <si>
    <t>Increases rune gain by 15%</t>
  </si>
  <si>
    <t>Graven-School Talisman</t>
  </si>
  <si>
    <t>Improved sorceries</t>
  </si>
  <si>
    <t>Increases damage of sorceries by 1.11x</t>
  </si>
  <si>
    <t>Greatshield Talisman</t>
  </si>
  <si>
    <t>Improved guarding ability</t>
  </si>
  <si>
    <t>Decreases incoming stamina damage when guarding by 0.8x</t>
  </si>
  <si>
    <t>Green Turtle Talisman</t>
  </si>
  <si>
    <t>Improved stamina recovery</t>
  </si>
  <si>
    <t>Increases stamina regen by 8/s</t>
  </si>
  <si>
    <t>Haligdrake Talisman</t>
  </si>
  <si>
    <t>Improved holy damage negation</t>
  </si>
  <si>
    <t>Increases holy damage negation by 20%</t>
  </si>
  <si>
    <t>Hammer Talisman</t>
  </si>
  <si>
    <t>Improved guard breaking</t>
  </si>
  <si>
    <t>Increases stamina damage by 1.5x</t>
  </si>
  <si>
    <t>Only relevant for enemies with a shield</t>
  </si>
  <si>
    <t>Immunizing Horn Charm</t>
  </si>
  <si>
    <t>Improved poison and rot resistance</t>
  </si>
  <si>
    <t>Increases poison and rot resist by 75</t>
  </si>
  <si>
    <t>Kindred of Rot's Exultation</t>
  </si>
  <si>
    <t>Poison &amp; rot improves attack power</t>
  </si>
  <si>
    <t>Increases damage by 1.2x for 20 seconds when poison or rot is triggered within 7m</t>
  </si>
  <si>
    <t>Lightning Scorpion Charm</t>
  </si>
  <si>
    <t>Improved lightning attack power and impaired physical damage negation</t>
  </si>
  <si>
    <t>Increases lightning damage by 1.15x and decreases physical damage negation by 0.9x</t>
  </si>
  <si>
    <t>Lord of Blood's Exultation</t>
  </si>
  <si>
    <t>Blood loss in vicinity increases attack power</t>
  </si>
  <si>
    <t>Increases damage by 1.2x for 20 seconds when bleed is triggered within 7m</t>
  </si>
  <si>
    <t>Magic Scorpion Charm</t>
  </si>
  <si>
    <t>Improved magic attack power and impaired physical damage negation</t>
  </si>
  <si>
    <t>Increases magic damage by 1.15x and decreases physical damage negation by 0.9x</t>
  </si>
  <si>
    <t>Millicent's Prosthesis</t>
  </si>
  <si>
    <t>Improved dexterity and successive attacks boost attack power</t>
  </si>
  <si>
    <t>Increases dexterity by 5 and increases damage by 1.04x/1.06x/1.11x/1.11x with continuous attacks</t>
  </si>
  <si>
    <t>Most spells do not trigger. Bows cannot trigger</t>
  </si>
  <si>
    <t>Mottled Necklace</t>
  </si>
  <si>
    <t>Improved poison, rot, blood loss, frost, sleep, and madness resistance</t>
  </si>
  <si>
    <t>Increases poison, rot, blood loss, frost, sleep, and madness resist by 40</t>
  </si>
  <si>
    <t>Old Lord's Talisman</t>
  </si>
  <si>
    <t>Extended spell duration</t>
  </si>
  <si>
    <t>Increases duration of spell buffs by 1.3x</t>
  </si>
  <si>
    <t>Pearldrake Talisman</t>
  </si>
  <si>
    <t>Improved non-physical damage negation</t>
  </si>
  <si>
    <t>Increases magic/fire/lightning/holy damage negation by 10%</t>
  </si>
  <si>
    <t>Perfumer's Talisman</t>
  </si>
  <si>
    <t>Improved performing arts</t>
  </si>
  <si>
    <t>Increases damage of perfumes by 1.2x</t>
  </si>
  <si>
    <t>Primal Glintstone Blade</t>
  </si>
  <si>
    <t>Reduced spell FP cost and maximum HP down</t>
  </si>
  <si>
    <t>Decreases spell FP cost by 0.75x and decreases max HP by 0.94x</t>
  </si>
  <si>
    <t>Prince of Death's Pustule</t>
  </si>
  <si>
    <t>Improved deathblight resistance</t>
  </si>
  <si>
    <t>Increases deathblight resist by 75</t>
  </si>
  <si>
    <t>Radagon Icon</t>
  </si>
  <si>
    <t>Improved spell casting speed</t>
  </si>
  <si>
    <t>Increases vdex by 60</t>
  </si>
  <si>
    <t>Red-Feathered Branchsword</t>
  </si>
  <si>
    <t>Improved attack power at low HP</t>
  </si>
  <si>
    <t>Increases damage by 1.2x when HP is below 20%</t>
  </si>
  <si>
    <t>Ritual Shield Talisman</t>
  </si>
  <si>
    <t>Improved damage negation at full HP</t>
  </si>
  <si>
    <t>Increases damage negation by 30% when HP is at 100%</t>
  </si>
  <si>
    <t>Ritual Sword Talisman</t>
  </si>
  <si>
    <t>Improved attack power at full HP</t>
  </si>
  <si>
    <t>Increases damage by 1.1x when HP is at 100%</t>
  </si>
  <si>
    <t>Roar Medallion</t>
  </si>
  <si>
    <t>Improved roar &amp; breath attacks</t>
  </si>
  <si>
    <t>Increased damage of roar and breath attacks by 1.2x</t>
  </si>
  <si>
    <t>Sacred Scorpion Charm</t>
  </si>
  <si>
    <t>Improved holy attack power and impaired physical damage negation</t>
  </si>
  <si>
    <t>Increases holy damage by 1.15x and decreases physical damage negation by 10%</t>
  </si>
  <si>
    <t>Sacrificial Twig</t>
  </si>
  <si>
    <t>No rune loss or level down upon death</t>
  </si>
  <si>
    <t>Self-explanatory</t>
  </si>
  <si>
    <t>Silver Scarab</t>
  </si>
  <si>
    <t>Improved item discovery</t>
  </si>
  <si>
    <t>Increases discovery by 40</t>
  </si>
  <si>
    <t>Spear Talisman</t>
  </si>
  <si>
    <t>Improved thrusting counterattack</t>
  </si>
  <si>
    <t>Increases counterhit damage by 1.2x</t>
  </si>
  <si>
    <t>Spelldrake Talisman</t>
  </si>
  <si>
    <t>Improved magic damage negation</t>
  </si>
  <si>
    <t>Increases magic damage negation by 20%</t>
  </si>
  <si>
    <t>Stalwart Horn Charm</t>
  </si>
  <si>
    <t>Improved blood loss and frost resistance</t>
  </si>
  <si>
    <t>Increases blood loss and frost resist by 75</t>
  </si>
  <si>
    <t>Symbol of Avarice</t>
  </si>
  <si>
    <t>Improved item discovery, more runes from defeated enemies, and continuous HP loss</t>
  </si>
  <si>
    <t>Increases discovery by 60, increases rune gain by 20%, decreases HP by 10/s</t>
  </si>
  <si>
    <t>Taker's Cameo</t>
  </si>
  <si>
    <t>Defeating enemies restores HP</t>
  </si>
  <si>
    <t>Restores 6% of max HP when an enemy is killed</t>
  </si>
  <si>
    <t>Twinblade Talisman</t>
  </si>
  <si>
    <t>Improved chain attack finishers</t>
  </si>
  <si>
    <t>Increases damage by 1.15x with the final light attack in a chain</t>
  </si>
  <si>
    <t>Viridian Amber Medallion</t>
  </si>
  <si>
    <t>Increased maximum stamina</t>
  </si>
  <si>
    <t>Increases stamina by 1.12x</t>
  </si>
  <si>
    <t>Warrior Jar Shard</t>
  </si>
  <si>
    <t>Improved skill attack power</t>
  </si>
  <si>
    <t>Increases damage of skills by 1.15x</t>
  </si>
  <si>
    <t>Winged Sword Insignia</t>
  </si>
  <si>
    <t>Successive attacks boost attack power</t>
  </si>
  <si>
    <t>Increases damage by 1.03x/1.05x/1.1x/1.1x with continuous attacks</t>
  </si>
  <si>
    <t>Category</t>
  </si>
  <si>
    <t>Effect Description In-Game</t>
  </si>
  <si>
    <t>Stackable with self?</t>
  </si>
  <si>
    <t>Stat</t>
  </si>
  <si>
    <t>The Wylder's Grief +1/2/3</t>
  </si>
  <si>
    <t>Increases strength and dexterity by 3/6/9</t>
  </si>
  <si>
    <t>Yes</t>
  </si>
  <si>
    <t>The Guardian's Grief +1/2/3</t>
  </si>
  <si>
    <t>Increases vigor and endurance by 3/6/9</t>
  </si>
  <si>
    <t>The Ironeye's Grief +1/2/3</t>
  </si>
  <si>
    <t>Increases endurance and dexterity by 3/6/9</t>
  </si>
  <si>
    <t>The Duchess' Grief +1/2/3</t>
  </si>
  <si>
    <t>Increases dexterity and intelligence by 3/6/9</t>
  </si>
  <si>
    <t>The Raider's Grief +1/2/3</t>
  </si>
  <si>
    <t>Increases vigor and strength by 3/6/9</t>
  </si>
  <si>
    <t>The Revenant's Grief +1/2/3</t>
  </si>
  <si>
    <t>Increases faith and arcane by 3/6/9</t>
  </si>
  <si>
    <t>The Recluse's Grief +1/2/3</t>
  </si>
  <si>
    <t>Increases mind and intelligence by 3/6/9</t>
  </si>
  <si>
    <t>The Executor's Grief +1/2/3</t>
  </si>
  <si>
    <t>Increases dexterity and arcane by 3/6/9</t>
  </si>
  <si>
    <t>The Scholar's Grief +1/2/3</t>
  </si>
  <si>
    <t>Increases intelligence and arcane by 3/6/9</t>
  </si>
  <si>
    <t>The Undertaker's Grief +1/2/3</t>
  </si>
  <si>
    <t>Increases strength and faith by 3/6/9</t>
  </si>
  <si>
    <t>Exploration</t>
  </si>
  <si>
    <t>Improved Item Discovery</t>
  </si>
  <si>
    <t>Increases discovery by 20 / 30 / 40</t>
  </si>
  <si>
    <t>Offensive</t>
  </si>
  <si>
    <t>Attack Up When Wielding Two Armaments</t>
  </si>
  <si>
    <t>Increases paired L1 damage by 1.12x / 1.15x / 1.18x</t>
  </si>
  <si>
    <t xml:space="preserve">Improved Attack Power When Two-Handing </t>
  </si>
  <si>
    <t>Increases damage by 1.12x / 1.15x / 1.18x when 2 handing your weapon</t>
  </si>
  <si>
    <t>Does not apply to bows</t>
  </si>
  <si>
    <t>Improved Attack Power at Low HP</t>
  </si>
  <si>
    <t>Increases damage by 1.07x / 1.1x / 1.13x / 1.17x / 1.21x when HP is below 20%</t>
  </si>
  <si>
    <t>Improved Attack Power at Full HP</t>
  </si>
  <si>
    <t>Increases damage by 1.07x 1.105x / 1.14x when HP is at 100%</t>
  </si>
  <si>
    <t>Improved Melee Attack Power</t>
  </si>
  <si>
    <t>Increases melee attack power by 1.09x / 1.12x / 1.15x</t>
  </si>
  <si>
    <t>Improved Chain Attack Finishers</t>
  </si>
  <si>
    <t>Increases the last hit of a light attack chain's damage by 1.21x / 1.26x / 1.31x</t>
  </si>
  <si>
    <t>Improved Charged Attacks</t>
  </si>
  <si>
    <t>Increases charged heavy damage by 1.16x / 1.19x / 1.22x</t>
  </si>
  <si>
    <t>Improved Skill Attack Power</t>
  </si>
  <si>
    <t>Increases skill damage by 1.15x / 1.18x / 1.21x</t>
  </si>
  <si>
    <t>Includes charged skills. Does not affect character skills</t>
  </si>
  <si>
    <t>Improved Dash Attacks</t>
  </si>
  <si>
    <t>Increases running attack damage by 1.2x / 1.24x / 1.28x</t>
  </si>
  <si>
    <t>Improved Rolling Attacks</t>
  </si>
  <si>
    <t>Increases rolling attack damage by 1.2x / 1.24x / 1.28x</t>
  </si>
  <si>
    <t>Improved Guard Counters</t>
  </si>
  <si>
    <t>Increases guard counter damage by 1.17x / 1.20x / 1.23x</t>
  </si>
  <si>
    <t>Improved Jump Attacks</t>
  </si>
  <si>
    <t>Increases jump attack damage by 1.14x / 1.17x / 1.20x</t>
  </si>
  <si>
    <t>Does not include ashes like Lions Claw</t>
  </si>
  <si>
    <t>Improved Critical Hits</t>
  </si>
  <si>
    <t>Increases critical hit damage by 1.12x / 1.18x / 1.24x</t>
  </si>
  <si>
    <t>Improved Ranged Weapon Attacks</t>
  </si>
  <si>
    <t>Increases ranged damage by 1.07x / 1.1x / 1.14x</t>
  </si>
  <si>
    <t>Improved Magic/Fire/Lightning/Holy Attack Power</t>
  </si>
  <si>
    <t>Increases damage of respective element by 1.06x / 1.09x / 1.12x</t>
  </si>
  <si>
    <t>Add Magic/Fire/Holy/Lightning to Weapon</t>
  </si>
  <si>
    <t>Subtracts 25 / 26 / 30 / 35 physical AP from the weapon, adds 25 / 26 / 30 /35 elemental AP to the weapon</t>
  </si>
  <si>
    <t>No</t>
  </si>
  <si>
    <t>Does not affect scaling</t>
  </si>
  <si>
    <t>Attacks Inflict Poison/Blood Loss/Sleep/Rot/Frost</t>
  </si>
  <si>
    <t>Adds 18 / 23 / 30 status buildup to the weapon</t>
  </si>
  <si>
    <t>[Affinity] Attack Follows Charge Attacks that Land</t>
  </si>
  <si>
    <t>Deals additional magic/fire/lightning/holy damage after landing a charge attack. 75 base attack</t>
  </si>
  <si>
    <t>Attacks Generate Golden Shockwave</t>
  </si>
  <si>
    <t>Creates a golden shockwave on successive attacks. 420 base attack, 16.8 poise damage</t>
  </si>
  <si>
    <t>Attacks Generate Lava</t>
  </si>
  <si>
    <t>Creates a lava pool on successive attacks, 325 base fire attack. Lasts for 1.5 seconds(?)</t>
  </si>
  <si>
    <t xml:space="preserve">Offensive </t>
  </si>
  <si>
    <t>Attacks Generate Mist of Charm</t>
  </si>
  <si>
    <t>Creates a cloud that can charm enemies on successive attacks. Lasts for 1 second(?)</t>
  </si>
  <si>
    <t>Attacks Call Vengeful Spirits</t>
  </si>
  <si>
    <t>Summons spirits on successive attacks. 282 base magic damage, 10 poise damage</t>
  </si>
  <si>
    <t>Attacks Release Mist of Frost</t>
  </si>
  <si>
    <t>Successive attacks create a mist of frost; the 9 frost ticks 5/s for 16 seconds (80 total ticks)</t>
  </si>
  <si>
    <t>Attacks Unleash Lightning</t>
  </si>
  <si>
    <t>Creates lightning on successive attacks; 246 base lightning attack, 5 poise damage</t>
  </si>
  <si>
    <t>Improved Sorceries/Incantations</t>
  </si>
  <si>
    <t>Increases sorcery/incant damage by 1.05x / 1.08x / 1.11x</t>
  </si>
  <si>
    <t>Improved Charged Sorceries/Incantations</t>
  </si>
  <si>
    <t>Increases the damage of charged sorceries/incantations by 1.09x / 1.13x / 1.18x</t>
  </si>
  <si>
    <t>Improved Spell Casting Speed</t>
  </si>
  <si>
    <t>Increases vdex by 30 / 60</t>
  </si>
  <si>
    <t>Reduced Skill FP Cost</t>
  </si>
  <si>
    <t>Reduces skill FP cost by 0.88x / 0.82x / 0.76x</t>
  </si>
  <si>
    <t>Reduced Spell FP Cost</t>
  </si>
  <si>
    <t>Reduces sorcery &amp; incant FP cost by 0.9x / 0.85x / 0.8x</t>
  </si>
  <si>
    <t>Extended Spell Duration</t>
  </si>
  <si>
    <t>Increases spell duration by 100%</t>
  </si>
  <si>
    <t>Multiple Periodical Glintblades</t>
  </si>
  <si>
    <t>Creates 5 glintblades every 18s. 60 magic attack and 1 poise damage per blade</t>
  </si>
  <si>
    <t>Not affected by Glintblade sorcery buff</t>
  </si>
  <si>
    <t>Many Periodical Glintblades</t>
  </si>
  <si>
    <t>Creates 9 glintblades every 18s. 48 magic attack and 1 poise damage per blade</t>
  </si>
  <si>
    <t>Improved Stance-Breaking when Two-Handing</t>
  </si>
  <si>
    <t>Increases poise damage by 1.2x / 1.25x when 2 handing</t>
  </si>
  <si>
    <t>Improved Stance-Breaking when Wielding Two Armaments</t>
  </si>
  <si>
    <t>Increases paired L1 poise damage by 1.2x / 1.25x</t>
  </si>
  <si>
    <t>Improved Guard Breaking</t>
  </si>
  <si>
    <t>Increases stamina damage by 1.3x / 1.45x / 1.6x</t>
  </si>
  <si>
    <t>Power of Night and Flame</t>
  </si>
  <si>
    <t>Adds 67 magic or fire AP for 30 seconds depending on stance used</t>
  </si>
  <si>
    <t>Power of House Marais</t>
  </si>
  <si>
    <t>Increases damage by 1.1% up to 30 stacks
Increases damage by 0.85% up to 50 stacks
Increases damage by 0.4% up to 100 stacks (cap, total 70% damage increase)</t>
  </si>
  <si>
    <t>Stacks additively</t>
  </si>
  <si>
    <t>Power of Destined Death</t>
  </si>
  <si>
    <t>Deals [MaxHP * 0.01] + 2 dmg/0.1s for 0.8 seconds (8 total ticks) on each attack</t>
  </si>
  <si>
    <t>Power of the Blood Lord</t>
  </si>
  <si>
    <t>Increases damage by 1.3x for 20 seconds when bleed is triggered within 7m</t>
  </si>
  <si>
    <t>Power of the Great Ancient Dragon</t>
  </si>
  <si>
    <t>Adds 67 lightning AP for 30 seconds after charged skill usage</t>
  </si>
  <si>
    <t>Power of the First Lord</t>
  </si>
  <si>
    <t>Increases damage by 1.2x for 15 seconds after charged heavy usage</t>
  </si>
  <si>
    <t>Offensive/Debuff</t>
  </si>
  <si>
    <t>Power of the Ancestral Spirit</t>
  </si>
  <si>
    <t>Has a chance to lower enemy damage negations by 10% for 20 seconds after landing attacks</t>
  </si>
  <si>
    <t>Power of the Dark Moon</t>
  </si>
  <si>
    <t>Lowers enemy magic damage negation by 15% for 20 seconds after landing attacks</t>
  </si>
  <si>
    <t>Offensive/Defensive</t>
  </si>
  <si>
    <t>Power of Vengeance</t>
  </si>
  <si>
    <t>Increases maximum HP, FP, stamina, and damage by 0.7%, increases damage negations by 0.1% up to 30 stacks
Increases maximum HP, FP, stamina, and damage by 0.45%, increases damage negations by 0.1% up to 50 stacks
Increases maximum HP, FP, stamina, and damage by 0.2%, increases damage negations by 0.1% up to 100 stacks 
(cap, total 40% HP, FP, stamina, damage increase. 10% damage negation increase)</t>
  </si>
  <si>
    <t>Defensive</t>
  </si>
  <si>
    <t>Improved Magic/Fire/Lightning/Holy Damage Negation</t>
  </si>
  <si>
    <t>Increases damage negation of respective element by 12% / 16% / 20%</t>
  </si>
  <si>
    <t>Improved Damage Negation at Low HP</t>
  </si>
  <si>
    <t>Increases damage negation by 23% / 30% / 37% when HP is below 40%</t>
  </si>
  <si>
    <t>Improved Damage Negation at Full HP</t>
  </si>
  <si>
    <t>Increases damage negation by 24% / 32% / 40% when HP is at 100%</t>
  </si>
  <si>
    <t>Taking Damage Boosts Damage Negation</t>
  </si>
  <si>
    <t>Increases damage negation by 21% / 28% / 36% for 10 seconds after taking damage</t>
  </si>
  <si>
    <t>Only different tiers stack.</t>
  </si>
  <si>
    <t>Dmg Negation Up While Casting Spells</t>
  </si>
  <si>
    <t>Increases damage negation by 18% / 24% / 30% during casting animation</t>
  </si>
  <si>
    <t>Dmg Negation Up upon Landing Charge Attacks</t>
  </si>
  <si>
    <t>Increases damage negation by 24% / 32% / 40% after landing a charged heavy attack</t>
  </si>
  <si>
    <t xml:space="preserve">Only different tiers stack. </t>
  </si>
  <si>
    <t>Successive Attacks Negate Damage</t>
  </si>
  <si>
    <t>Increases damage negation by 38% / 48% / 60% with continuous attacks. Lasts for 30 seconds or until hit</t>
  </si>
  <si>
    <t>Only different tiers stack. Bows cannot trigger. Most spells cannot trigger</t>
  </si>
  <si>
    <t>Successful Guarding Ups Dmg Negation</t>
  </si>
  <si>
    <t>Increases damage negation by 14% / 19% / 24% after blocking an attack</t>
  </si>
  <si>
    <t>Successful Guarding Ups Poise</t>
  </si>
  <si>
    <t>Reduces incoming poise damage by 0.88x / 0.82x / 0.76x after blocking an attack</t>
  </si>
  <si>
    <t>Improved Guarding Ability</t>
  </si>
  <si>
    <t>Reduces stamina damage taken when guarding by 0.9x / 0.85x / 0.8x</t>
  </si>
  <si>
    <t>Improved Poison/Blood Loss/Sleep/Deathblight/Rot/Frost/Madness Resist</t>
  </si>
  <si>
    <t>Increases status resistance by 57 / 75 / 112</t>
  </si>
  <si>
    <t>Less Likely to Be Targeted</t>
  </si>
  <si>
    <t>Decreases targetPriority by 300 / 450 / 600</t>
  </si>
  <si>
    <t>Power of the Golden Order</t>
  </si>
  <si>
    <t xml:space="preserve">Charge attacks heal all ailments and dispel all temporary effects </t>
  </si>
  <si>
    <t>Regen</t>
  </si>
  <si>
    <t>Continuous HP Recovery</t>
  </si>
  <si>
    <t>Recovers 1 HP/s</t>
  </si>
  <si>
    <t>HP Restoration upon Landing Attacks</t>
  </si>
  <si>
    <t>Restores 4 / 6 / 8 HP on continuous attacks</t>
  </si>
  <si>
    <t>Yes?</t>
  </si>
  <si>
    <t>FP Restoration upon Landing Attacks</t>
  </si>
  <si>
    <t>Restores 1 / 2 / 3 FP on continuous attacks</t>
  </si>
  <si>
    <t>Defeating Enemies Restores HP</t>
  </si>
  <si>
    <t>Restores 20 / 30 / 40 HP on enemy kill</t>
  </si>
  <si>
    <t>Defeating Enemies Restores FP</t>
  </si>
  <si>
    <t>Restores 4% / 6% / 8% of maximum FP on enemy kill</t>
  </si>
  <si>
    <t>Taking Damage Restores FP</t>
  </si>
  <si>
    <t>Recovers 2 / 4 / 6 FP after taking damage</t>
  </si>
  <si>
    <t>Critical Hit FP Restoration</t>
  </si>
  <si>
    <t>Restores [MaxFP * 0.1] FP on critical hits</t>
  </si>
  <si>
    <t>Power of the Blasphemous</t>
  </si>
  <si>
    <t>Restores 100 HP upon enemy kill</t>
  </si>
  <si>
    <t>Power of the Undefeated</t>
  </si>
  <si>
    <t xml:space="preserve">Attacks after receiving damage partially recover HP </t>
  </si>
  <si>
    <t>Works similarly to Malenia's Great Rune</t>
  </si>
  <si>
    <t>Increased Maximum HP</t>
  </si>
  <si>
    <t>Increases maximum HP by 1.08x / 1.12x</t>
  </si>
  <si>
    <t>Increased Maximum FP</t>
  </si>
  <si>
    <t>Increases maximum FP by 1.09x / 1.13x</t>
  </si>
  <si>
    <t>Increased Maximum Stamina</t>
  </si>
  <si>
    <t>Increases maximum stamina by 1.08x / 1.12x</t>
  </si>
  <si>
    <t>More Runes From Defeated Enemies</t>
  </si>
  <si>
    <t>Increases rune gain hy 1.06x / 1.09x</t>
  </si>
  <si>
    <t>Physical Attack Up</t>
  </si>
  <si>
    <t>Increases physical attack damage by 1.055x / 1.08x</t>
  </si>
  <si>
    <t>Improved Affinity Attack Power</t>
  </si>
  <si>
    <t>Increases magic/fire/lightning/holy damage by 1.055x/1.08x</t>
  </si>
  <si>
    <t>Improved Thrusting Counterattack</t>
  </si>
  <si>
    <t>Increases counterhit damage by 1.1x / 1.15x</t>
  </si>
  <si>
    <t>Improve Stance-Breaking</t>
  </si>
  <si>
    <t>Increases poise damage by 1.08x / 1.12x</t>
  </si>
  <si>
    <t>Improved Sorceries &amp; Incantations</t>
  </si>
  <si>
    <t>Increases spell damage by 1.055x / 1.08x</t>
  </si>
  <si>
    <t>Increased Sorcery &amp; Incantation Duration</t>
  </si>
  <si>
    <t>Increases duration of spells by 1.45x / 1.6x</t>
  </si>
  <si>
    <t>Ice Storm upon Charged Attacks</t>
  </si>
  <si>
    <t>Performs a frost wind attack after charged heavy attack 
Buffs weapon with 20 frost buildup for 20 seconds</t>
  </si>
  <si>
    <t>Black Flames upon Charged Attacks</t>
  </si>
  <si>
    <t>Creates black flame on the ground after charged heavy attack 
Buffs weapon with 12 fire AP and damage over time effect for 7 seconds</t>
  </si>
  <si>
    <t>Phantom Attack upon Charged Attacks</t>
  </si>
  <si>
    <t>Performs the Phantom Slash AoW after charged heavy attack</t>
  </si>
  <si>
    <t>Holy Shockwave upon Charged Attacks</t>
  </si>
  <si>
    <t>Performs Wave of Gold AoW after charged heavy attack
Buffs weapon with 12 holy AP for 20 seconds</t>
  </si>
  <si>
    <t>Luring Enemies upon Charged Attacks</t>
  </si>
  <si>
    <t>Creates gravity pulse that pulls in enemies after charged heavy attack</t>
  </si>
  <si>
    <t>Magma upon Charged Attacks</t>
  </si>
  <si>
    <t>Creates magma on ground after charged heavy attack 
Buffs weapon with 12 fire AP for 20 seconds</t>
  </si>
  <si>
    <t>Lightning upon Charged Attacks</t>
  </si>
  <si>
    <t>Creates lightning blast after charged heavy attack
Buffs weapon with 12 lightning AP for 20 seconds</t>
  </si>
  <si>
    <t>Charged Attacks Invoke Sleep Mist</t>
  </si>
  <si>
    <t>Creates sleep mist after charged heavy attack
Buffs weapon with 20 sleep buildup for 20 seconds</t>
  </si>
  <si>
    <t>Projectiles Launched upon Charged Attacks</t>
  </si>
  <si>
    <t>Fires 3 magic projectiles after charged heavy bow shot</t>
  </si>
  <si>
    <t>Lightning upon Precision Aiming</t>
  </si>
  <si>
    <t>Creates specified effect when and where a manually aimed bow shot lands</t>
  </si>
  <si>
    <t>Poison Mist upon Precision Aiming</t>
  </si>
  <si>
    <t>Rot Mist upon Precision Aiming</t>
  </si>
  <si>
    <t>Bloodflies upon Precision Aiming</t>
  </si>
  <si>
    <t>Guarding Ups Sorceries &amp; Incantations</t>
  </si>
  <si>
    <t>After blocking with staff/seal for 2 seconds, increases spell damage by 1.1x and vdex by 30 for 25 seconds
(effect stacks up to 3 times)</t>
  </si>
  <si>
    <t>Improved Poise</t>
  </si>
  <si>
    <t>Reduces incoming poise damage by 0.8x / 0.67x</t>
  </si>
  <si>
    <t>All Resistances Up</t>
  </si>
  <si>
    <t>Increases all status effect resistance by 52 / 65</t>
  </si>
  <si>
    <t>Shielding Creates Holy Ground</t>
  </si>
  <si>
    <t>Creates holy ground after blocking with shield for 3 seconds</t>
  </si>
  <si>
    <t>Broken Stance Activates Endure</t>
  </si>
  <si>
    <t>After your guard breaks, increases damage negations by 30% and provides immunity to all Damage Level (immune to stagger) for 3.5 secs</t>
  </si>
  <si>
    <t>Improved Stamina Recovery</t>
  </si>
  <si>
    <t>Increases stamina recovery by 3 / 5</t>
  </si>
  <si>
    <t>Improved Flask HP Restoration</t>
  </si>
  <si>
    <t>Increases HP gained from flasks by 1.13x / 1.18x</t>
  </si>
  <si>
    <t>Flask Healing Also Restores FP</t>
  </si>
  <si>
    <t>Restores [MaxFP * 0.2] FP when drinking flask</t>
  </si>
  <si>
    <t>Failing to Cast Spell Restores FP</t>
  </si>
  <si>
    <t>Restores [MaxFP * 0.13] FP after attempting to cast a spell with insufficient FP</t>
  </si>
  <si>
    <t>Curse</t>
  </si>
  <si>
    <t>Reduced Maximum HP</t>
  </si>
  <si>
    <t>Reduces maximum HP by 0.96x/0.94x</t>
  </si>
  <si>
    <t>Reduced Maximum FP</t>
  </si>
  <si>
    <t>Reduces maximum FP by 0.94x/0.91x</t>
  </si>
  <si>
    <t>Reduced Maximum Stamina</t>
  </si>
  <si>
    <t>Reduces maximum stamina by 0.95x/0.92x</t>
  </si>
  <si>
    <t>Near Death Reduces Max HP</t>
  </si>
  <si>
    <t>Decreases maximum HP by 0.85x for 30 seconds after being downed</t>
  </si>
  <si>
    <t>Attacks Impaired on Occasion</t>
  </si>
  <si>
    <t>Each attack has a 3% / 5% chance to deal no damage</t>
  </si>
  <si>
    <t>Lower Attack When Below Max HP</t>
  </si>
  <si>
    <t>Decreases damage by 0.95x/0.93x when HP is below 85%</t>
  </si>
  <si>
    <t>Slower Art Gauge When Below Max HP</t>
  </si>
  <si>
    <t xml:space="preserve">Decreases ultimate gauge gained by 0.9x/0.85x when HP is below 85% </t>
  </si>
  <si>
    <t xml:space="preserve">Unlike the "Ultimate Art Gauge" effect, affects ult gauge gained from attacking </t>
  </si>
  <si>
    <t>Near Death Reduces Art Gauge</t>
  </si>
  <si>
    <t>Decreases ultimate gauge by 25/33 when the wearer is downed</t>
  </si>
  <si>
    <t>Impaired Physical Damage Negation</t>
  </si>
  <si>
    <t>Increases physical damage taken by 5.5%/8%</t>
  </si>
  <si>
    <t>Impaired Affinity Damage Negation</t>
  </si>
  <si>
    <t>Increases magic/fire/lightning/holy damage taken by 5.5%/8%</t>
  </si>
  <si>
    <t>More Damage Taken After Evasion</t>
  </si>
  <si>
    <t>Increases damage taken by 15%/20% right after rolling</t>
  </si>
  <si>
    <t>Repeated Evasions Lower Damage Negation</t>
  </si>
  <si>
    <t>Increases damage taken by 23%/30% for 15 seconds on repeat rolls</t>
  </si>
  <si>
    <t>Reduced Damage Negation for Flask Usages</t>
  </si>
  <si>
    <t>Increases damage taken by 33%/46% when using flask</t>
  </si>
  <si>
    <t>Lower Stamina Impairs Dmg Negation</t>
  </si>
  <si>
    <t>Increases damage taken by 10%/15% when stamina is at or below 50%</t>
  </si>
  <si>
    <t>Night's Tide Damage Increased</t>
  </si>
  <si>
    <t>Increases damage taken by the Night's Tide by 2x/2.5x</t>
  </si>
  <si>
    <t>Damage Increased by Night's Encroachment</t>
  </si>
  <si>
    <t>Increases damage taken by 1%/2.5% throughout each day 4 times
Most likely happens start of day, 1st circle closed, 2nd circle closing, 2nd circle closed. Stacks reset after Night 1 boss</t>
  </si>
  <si>
    <t>All Resistances Down</t>
  </si>
  <si>
    <t>Reduces status resist by 30/45</t>
  </si>
  <si>
    <t>Ailments Cause Increased Damage</t>
  </si>
  <si>
    <t>Increases status damage received by 30%/45%</t>
  </si>
  <si>
    <t>Reduced Flask HP Restoration</t>
  </si>
  <si>
    <t>Reduces HP gained from flasks by 0.94x/0.91x</t>
  </si>
  <si>
    <t>Continuous HP Loss</t>
  </si>
  <si>
    <t>Wearer takes 1HP per second/0.67s</t>
  </si>
  <si>
    <t>Poison Buildup When Below Max HP</t>
  </si>
  <si>
    <t>Builds up 2 poison every 0.28/0.22 seconds when HP is below 85%</t>
  </si>
  <si>
    <t>Rot Buildup When Below Max HP</t>
  </si>
  <si>
    <t>Builds up 2 rot every 0.32/0.24 seconds when HP is below 85%</t>
  </si>
  <si>
    <t>Relic Description</t>
  </si>
  <si>
    <t>Vigor +1/2/3</t>
  </si>
  <si>
    <t>+20 / +40 / +60 Max HP</t>
  </si>
  <si>
    <t>Mind +1/2/3</t>
  </si>
  <si>
    <t>+5 / +10 / +15 Max FP</t>
  </si>
  <si>
    <t>Endurance +1/2/3</t>
  </si>
  <si>
    <t>+2 / +4 / +6 Max Stamina</t>
  </si>
  <si>
    <t>Strength/Dexterity/Intelligence/Faith/Arcane +1/2/3</t>
  </si>
  <si>
    <t>3 Arc adds ~5.4% of base bleed</t>
  </si>
  <si>
    <t>Poise +1/2/3</t>
  </si>
  <si>
    <t>Reduces incoming poise damage by 0.95x/0.9x/0.85x</t>
  </si>
  <si>
    <t>Increased maximum HP/FP/Stamina</t>
  </si>
  <si>
    <t>Increases vigor/mind/endurance by 5</t>
  </si>
  <si>
    <t>+100 Max HP / 25 Max FP / 10 Max Stamina. Exclusive to (Dark) Night of the Fathom, Wise, Champion respectively</t>
  </si>
  <si>
    <t>Improved [Status] Resistance</t>
  </si>
  <si>
    <t>Increases specified status resistance by 75</t>
  </si>
  <si>
    <t>Max FP Up with 3+ Staves/Sacred Seals Equipped</t>
  </si>
  <si>
    <t xml:space="preserve">Increases mind by 10 </t>
  </si>
  <si>
    <t>+50 Max FP</t>
  </si>
  <si>
    <t>Max HP Up with 3+ Small/Medium/Greatshields Equipped</t>
  </si>
  <si>
    <t>Increases vigor by 10</t>
  </si>
  <si>
    <t>+200 Max HP</t>
  </si>
  <si>
    <t>Start of game</t>
  </si>
  <si>
    <t>Starting Weapon deals [element] Damage</t>
  </si>
  <si>
    <t>Decreases starting weapon's physical AP by 30/40/50/60 and adds 33/44/55/66 elemental AP</t>
  </si>
  <si>
    <t>The amount of damage taken away and added depends on weapon type. Does not affect weapon scaling. Does not stack with "Stating armament inflicts "x" status"</t>
  </si>
  <si>
    <t>Stating armament inflicts "x" status</t>
  </si>
  <si>
    <t>Decreases starting weapon's damage by 0.85x and adds 25 (blood) or 35 (poison/frost) buildup</t>
  </si>
  <si>
    <t>Does not stack with "Starting Weapon deals [element] Damage"</t>
  </si>
  <si>
    <t>Change compatible armament skill to [xxx] at start of expedition</t>
  </si>
  <si>
    <t>Self explanatory</t>
  </si>
  <si>
    <t>[Consumable] in possession at start of expedition</t>
  </si>
  <si>
    <t>Small pouch in possession at start of expedition</t>
  </si>
  <si>
    <t>Stonesword in possession at start of expedition</t>
  </si>
  <si>
    <t>Flask Also Heals Allies</t>
  </si>
  <si>
    <t>Heals allies for 50% of flask HP in a radius</t>
  </si>
  <si>
    <t>Currently bugged; sometimes has a chance to not heal the wearer. Will not heal teammates in iframes.</t>
  </si>
  <si>
    <t>Item confer effect to all nearby allies</t>
  </si>
  <si>
    <t>Increase rune acquisition for self and allies</t>
  </si>
  <si>
    <t>1.035x rune gain for self and allies</t>
  </si>
  <si>
    <t>Critical Hits Earn Runes</t>
  </si>
  <si>
    <t>Gain 600 runes on critical hits</t>
  </si>
  <si>
    <t>Attack power permanently increased for each evergaol prisoner defeated</t>
  </si>
  <si>
    <t>Increases damage by 1.05x per Evergaol boss</t>
  </si>
  <si>
    <t>Max FP increased for each Sorcerer's Rise unlocked</t>
  </si>
  <si>
    <t>Increases max FP by 1.18x for each Sorcerer's Rise unlocked</t>
  </si>
  <si>
    <t>Attack power up after defeating a Night Invader</t>
  </si>
  <si>
    <t>Increases damage by 1.07x per invader</t>
  </si>
  <si>
    <t>(Huge) Rune discount for shop purchases while on expedition</t>
  </si>
  <si>
    <t>Provides a 10/20% discount at merchants</t>
  </si>
  <si>
    <t>Different versions stack together. The same version does not stack with itself. "Huge" exclusive to Night of the Demon</t>
  </si>
  <si>
    <t>Treasure marked upon map</t>
  </si>
  <si>
    <t xml:space="preserve">Reveals hidden chest locations </t>
  </si>
  <si>
    <t>Taking attacks improves attack power</t>
  </si>
  <si>
    <t>15% damage buff after taking a hit, for 10s. Duration refresh when getting hit again. Does not work if blocked</t>
  </si>
  <si>
    <t>Physical Attack Up +0/1/2</t>
  </si>
  <si>
    <t>Increases physical damage by 1.04x/1.05x/1.06x</t>
  </si>
  <si>
    <t>Increases all attack power by 1.05x. Affects both weapon and skills.</t>
  </si>
  <si>
    <t>Exclusive to Will of the Balancers and Will of Balance</t>
  </si>
  <si>
    <t>Increases skill attack power by 1.15x</t>
  </si>
  <si>
    <t>Magic/Fire/Lightning/Holy Attack Up +0/1/2</t>
  </si>
  <si>
    <t>Increases magic/fire/lightning/holy damage by 1.045x/1.055x/1.065x</t>
  </si>
  <si>
    <t>Improved stance breaking when two handing</t>
  </si>
  <si>
    <t>Increases poise damage by 1.05x when 2 handing the weapon</t>
  </si>
  <si>
    <t>Does not apply to bows.</t>
  </si>
  <si>
    <t>Improved stance breaking while wielding two armaments</t>
  </si>
  <si>
    <t>Increases poise damage by 1.05x when powerstancing (dual wielding 2 weapons of the same type)</t>
  </si>
  <si>
    <t>Can confirm applies to ground L1 attack and jump L1.</t>
  </si>
  <si>
    <t>Switching Weapons Adds an Affinity Attack</t>
  </si>
  <si>
    <t>Adds 12 magic/fire/lightning/holy AP for 10 seconds</t>
  </si>
  <si>
    <t>The element that is chosen is random. Exclusive to Night of the Lord.</t>
  </si>
  <si>
    <t>Boosts Attack Power of Added Affinity Attacks</t>
  </si>
  <si>
    <t>Increases magic/fire/lightning/holy AP by 1.1x</t>
  </si>
  <si>
    <t>Rounds up. Exclusive to Night of the Lord, Golden Dew, and Dark Night of the Champion. Does not affect sorceries/incants. Works for any elemental damage on weapon, not just weapon buffs</t>
  </si>
  <si>
    <t>Switching Weapons Boosts Attack Power</t>
  </si>
  <si>
    <t>Increases physical damage by 1.1x for 10 seconds</t>
  </si>
  <si>
    <t xml:space="preserve">Exclusive to Night of the Lord and Fell Omen Fetish. </t>
  </si>
  <si>
    <t>Successive Attacks Boosts Attack Power</t>
  </si>
  <si>
    <t>Increases damage by 1.05x / 1.065x / 1.09x on successive attacks</t>
  </si>
  <si>
    <t>N/A</t>
  </si>
  <si>
    <t>Exclusive to Glass Necklace</t>
  </si>
  <si>
    <t>Attack power increases after using grease items</t>
  </si>
  <si>
    <t>Increases physical damage by 1.1x for 30 seconds</t>
  </si>
  <si>
    <t>Same duration as grease</t>
  </si>
  <si>
    <t>Improved Initial Standard Attack</t>
  </si>
  <si>
    <t>Increases the damage of the first light attack by 1.15x</t>
  </si>
  <si>
    <t>Applies to 1H/2H R1 chain or paired weapon L1. Does not work for shield poke / rolling attack / jump attack</t>
  </si>
  <si>
    <t>Increases guard counter damage by 1.17x</t>
  </si>
  <si>
    <t>Guard counter is given a boost based on current HP</t>
  </si>
  <si>
    <t>Damage boost varies linearly with % health remaining, but potency varies greatly between character, level and weapons.</t>
  </si>
  <si>
    <t xml:space="preserve"> Buff seems to scale off amount of HP, and is a flat amount per weapon type. Despite the confusing behaviour, this is an extremely potent buff for Guardian: ~30% buff at max level for commander's standard, and ~21.5% for Godfrey's Axe. For Raider, ~25.7% buff for commander's standard, and ~16.8% for Godfrey's Axe</t>
  </si>
  <si>
    <t>Improved Critical Hits +0/1</t>
  </si>
  <si>
    <t>Increases critical hit damage by 1.18x/1.23x</t>
  </si>
  <si>
    <t>See Notes</t>
  </si>
  <si>
    <t>Only applies to certain parts of critical hit. E.g. on colossal weapon, it only buffs the (stronger) second hit.
 +0 stack with +1 and +0 can stack with another +0 but +1 can not stack with itself as +1 exclusive to (Dark) Night of the Baron</t>
  </si>
  <si>
    <t>Improved Throwing Pot/Knife/Stone/Perfuming Arts Damage</t>
  </si>
  <si>
    <t>Increases pot/knife/stone/Perfuming Arts damage by 1.15x</t>
  </si>
  <si>
    <t>Improved [Spell School] Sorcery/Incantation</t>
  </si>
  <si>
    <t>Increases damage of specified school by 1.12x</t>
  </si>
  <si>
    <t>Improves Roar and Breath attacks</t>
  </si>
  <si>
    <t>Increases roar / breath damage by 1.15x.</t>
  </si>
  <si>
    <t>Does not work for Raider character skill.</t>
  </si>
  <si>
    <t>Improve [Weapon Type] attack power</t>
  </si>
  <si>
    <t>Increase damage dealt by the specified weapon type by 1.09x (1.06x for bows)</t>
  </si>
  <si>
    <t>Applies to weapon hit AoW (using said weapon). Does not apply to projectile AoW like thunderbolt, even when cast with said weapon type.</t>
  </si>
  <si>
    <t>Improved Attack Power with 3 [Weapon Type] Equipped</t>
  </si>
  <si>
    <t>Increases damage by the specified weapon type by 1.2x (1.1x for bows)</t>
  </si>
  <si>
    <t>Works for damage from all sources. E.g. spells</t>
  </si>
  <si>
    <t>Attack power up when facing frostbite/poison/rot afflicted enemy</t>
  </si>
  <si>
    <t>Increases damage by 1.1x towards targets suffering specified status effect</t>
  </si>
  <si>
    <t>Frostbite in Vicinity Conceals Self</t>
  </si>
  <si>
    <t>Exclusive to (Dark) Night of the Miasma</t>
  </si>
  <si>
    <t>Poison &amp; Rot in Vicinity Increases Attack Power</t>
  </si>
  <si>
    <t>Increases damage by 1.12x for 20 seconds when poison or rot is triggered in the vicinity</t>
  </si>
  <si>
    <t>Exclusive to Night of the Wise</t>
  </si>
  <si>
    <t>Status Ailment Gauges Slowly Increase Attack Power</t>
  </si>
  <si>
    <t>Having any amount of status ailment gauge increases damage by 1.04x every 20 seconds (10 stacks). Resets after 30 seconds 
of no status gauge.</t>
  </si>
  <si>
    <t>Exclusive to Night of Dregs</t>
  </si>
  <si>
    <t>Attacks Inflict Rot When Damage Is Taken</t>
  </si>
  <si>
    <t>Adds 25 rot buildup to the weapon for 12 seconds after taking damage</t>
  </si>
  <si>
    <t>Improved Physical Damage Negation</t>
  </si>
  <si>
    <t>Increases physical damage negation by 10%</t>
  </si>
  <si>
    <t>Exclusive to Dark Night of the Miasma</t>
  </si>
  <si>
    <t>Magic/Fire/Lightning/Holy Damage Negation Up</t>
  </si>
  <si>
    <t>Increases damage negation by 16% when HP is below 40%</t>
  </si>
  <si>
    <t>Draw enemy attention while guarding</t>
  </si>
  <si>
    <t>Increases aggro when holding the block button</t>
  </si>
  <si>
    <t>Does not guarantee aggro</t>
  </si>
  <si>
    <t>Improved Poise &amp; Damage Negation When Knocked Back by Damage</t>
  </si>
  <si>
    <t>Increases damage negation by 20% and reduces incoming poise damage by 0.8x for 20 seconds</t>
  </si>
  <si>
    <t>Occasionally Nullify Attacks When Damage Negation is Lowered</t>
  </si>
  <si>
    <t>Self explanatory. Chance of activation currently unknown</t>
  </si>
  <si>
    <t>Exclusive to the Will of Balance (ED Balancer relic, unreleased)</t>
  </si>
  <si>
    <t>Character Skill Cooldown +1/2/3</t>
  </si>
  <si>
    <t>Reduces skill cooldown by 0.95x/0.925x/0.9x</t>
  </si>
  <si>
    <t>Ultimate Art Gauge +1/2/3</t>
  </si>
  <si>
    <t>Increases ultimate gauge gain by 1.05x/1.075x/1.1x</t>
  </si>
  <si>
    <t>Only affects passive Ultimate gauge gain during combat</t>
  </si>
  <si>
    <t>Partial HP Restoration upon Post-Damage Attacks</t>
  </si>
  <si>
    <t>Replenishes HP on hit for a short period of time after taking damage</t>
  </si>
  <si>
    <t xml:space="preserve">Much stronger healing than other heal on hit effects. Amount of healing varies by attack performed. Does not stack with Hand of Malenia (which will take priority and has great healing effects). </t>
  </si>
  <si>
    <t>Slowly restore HP for self and nearby allies when HP is low</t>
  </si>
  <si>
    <t>Restores [MaxHP * 0.005] + 1 HP/s for 50 seconds when HP is below 20%</t>
  </si>
  <si>
    <t>Regen stays even after you go above 20% HP</t>
  </si>
  <si>
    <t>Art gauge fills moderately upon critical hit</t>
  </si>
  <si>
    <t>Increases Ultimate Art Gauge by 5</t>
  </si>
  <si>
    <t>HP restored when using cured meats, medicinal boluses, etc.</t>
  </si>
  <si>
    <t>Restores 50 HP on consumption</t>
  </si>
  <si>
    <t>Art gauge charged from successful guarding</t>
  </si>
  <si>
    <t>Increases Ultimate Art Gauge by 1</t>
  </si>
  <si>
    <t>Critical Hit Boosts Stamina Recovery Speed</t>
  </si>
  <si>
    <t>Increases stamina recovery by 10/s for 15 seconds</t>
  </si>
  <si>
    <t>Gesture "Crossed Legs" Builds Up Madness</t>
  </si>
  <si>
    <t>Inflicts 10 madness buildup every 2 seconds</t>
  </si>
  <si>
    <t>Exclusive to (Dark) Night of the Demon</t>
  </si>
  <si>
    <t>Madness Continually Recovers FP</t>
  </si>
  <si>
    <t xml:space="preserve">Recovers 2 FP/s for 25 seconds </t>
  </si>
  <si>
    <t xml:space="preserve">Continuous HP recovery </t>
  </si>
  <si>
    <t>Recovers 2 HP/s</t>
  </si>
  <si>
    <t>Exclusive to Blessed Iron Coin and Dark Night of the Fathom</t>
  </si>
  <si>
    <t>Continuous FP Recovery</t>
  </si>
  <si>
    <t>Recovers 1 FP/5s</t>
  </si>
  <si>
    <t>Exclusive to Will of the Balancers</t>
  </si>
  <si>
    <t>Rot in Vicinity Causes Continuous HP Recovery</t>
  </si>
  <si>
    <t>Recovers 0.15% of max HP + 15 HP/s for 15 seconds after rot procs</t>
  </si>
  <si>
    <t>Raised stamina recovery for nearby allies, but not for self</t>
  </si>
  <si>
    <t>Increases allies' stamina recovery speed by 4/s</t>
  </si>
  <si>
    <t>FP Restoration upon Successive Attacks</t>
  </si>
  <si>
    <t>Recovers [MaxFP * 0.05] with continuous attacks</t>
  </si>
  <si>
    <t>HP Recovery From Successful Guarding</t>
  </si>
  <si>
    <t>Recovers 8 HP after blocking an attack</t>
  </si>
  <si>
    <t>Defeating enemies fills more of the Art gauge</t>
  </si>
  <si>
    <t>Increases Ultimate Art Gauge by 5 on each enemy kill</t>
  </si>
  <si>
    <t>Defeating enemies restores HP for allies but not for self</t>
  </si>
  <si>
    <t>Allies recover 20 HP on each enemy kill</t>
  </si>
  <si>
    <t>Stamina Recovery upon Landing Attacks +0/+1</t>
  </si>
  <si>
    <t>Restores 2/3 stamina with continuous attacks</t>
  </si>
  <si>
    <t>Stack with the weaker version. +1 Exclusive to (Dark) Night of the Beast</t>
  </si>
  <si>
    <t>HP restoration after [Weapon type] attacks</t>
  </si>
  <si>
    <t>Restores 15 HP with continuous attacks</t>
  </si>
  <si>
    <t>Amount of healing doesn't seem to change based on attack / weapon type.</t>
  </si>
  <si>
    <t>FP restoration after [Weapon type] attacks</t>
  </si>
  <si>
    <t>Restores 2 FP with continuous attacks</t>
  </si>
  <si>
    <t>HP Restoration upon Thrusting Counterattack</t>
  </si>
  <si>
    <t>Restores [MaxHP * 0.025] HP on counterhits</t>
  </si>
  <si>
    <t>Character</t>
  </si>
  <si>
    <t>Wylder: Art gauge is greatly filled when ability is activated</t>
  </si>
  <si>
    <t>Increased characterSkillGauge by 18</t>
  </si>
  <si>
    <t>[Wylder] Art activation spreads fire in the area</t>
  </si>
  <si>
    <t xml:space="preserve">Ultimate art leaves behind a small area of fire that does DoT. </t>
  </si>
  <si>
    <t>[Wylder] Standard attacks enhanced with fiery follow-ups when using Character Skill (greatsword only)</t>
  </si>
  <si>
    <t>Allows you to perform a light attack follow up after using claw shot. Adds 12 fire AP to the weapon</t>
  </si>
  <si>
    <t>[Wylder] +1 additional character skill use</t>
  </si>
  <si>
    <t>[Guardian] Increased skill duration</t>
  </si>
  <si>
    <t>Allows you to briefly charge this skill to trigger a much bigger AoE and longer lasting tornado. Can block projectile attacks.</t>
  </si>
  <si>
    <t>[Guardian] Slowly restores nearby allies HP while Art is active</t>
  </si>
  <si>
    <t>Allies restore [MaxHP * 0.1] + 12 HP/0.5s when ultimate is held</t>
  </si>
  <si>
    <t>[Guardian] Creates whirlwind when charging halberd attacks</t>
  </si>
  <si>
    <t>Performs a whirlwind attack after using halberd charged heavies</t>
  </si>
  <si>
    <t>[Guardian] Successful guards send out shockwaves while ability is active</t>
  </si>
  <si>
    <t>Sends out a shockwave when blocking an attack in the Iron Guard stance. 100 base physical attack</t>
  </si>
  <si>
    <t>[Ironeye] Art Charge Activation Adds Poison Effect</t>
  </si>
  <si>
    <t>Charged ultimate deals 300 poison buildup</t>
  </si>
  <si>
    <t>[Ironeye] Boosts thrusting counterattacks after executing Art</t>
  </si>
  <si>
    <t>Increases counterhit damage by 1.2x for 30 seconds</t>
  </si>
  <si>
    <t>[Ironeye] Extends duration of weak point</t>
  </si>
  <si>
    <t>Extends weak point duration from 17.5s to 22s</t>
  </si>
  <si>
    <t>[Ironeye] +1 additional character skill use</t>
  </si>
  <si>
    <t>[Duchess] Defeating enemies while Art is active ups attack power</t>
  </si>
  <si>
    <t>Increases damage by 1.15x for 30 seconds for each enemy killed while Ultimate is active</t>
  </si>
  <si>
    <t>[Duchess] Improved Character Skill Attack Power</t>
  </si>
  <si>
    <t>Duchess' Restage does 60% of total damage instead of 50%</t>
  </si>
  <si>
    <t>In game testing suggest 20% damage increase</t>
  </si>
  <si>
    <t>[Duchess] Become difficult to spot and silence footsteps after landing critical from behind</t>
  </si>
  <si>
    <t>[Duchess] Successive dagger attack reprises event upon nearby enemies</t>
  </si>
  <si>
    <t xml:space="preserve">Deals extra DoT damage after completing a full light attack chain. </t>
  </si>
  <si>
    <t>~36/39/39% extra damage from 1h/ 2h/ powerstance attack chain</t>
  </si>
  <si>
    <t>[Raider] Duration of Ultimate Art extended</t>
  </si>
  <si>
    <t>Increases duration of the ultimate from 20 to 30 seconds</t>
  </si>
  <si>
    <t>[Raider] Damage taken while using Character Skill improves attack power and stamina</t>
  </si>
  <si>
    <t>Increases damage by 1.1x and maximum stamina by 1.2x for 20 seconds</t>
  </si>
  <si>
    <t>Defeating enemies near Totem Stela restores HP</t>
  </si>
  <si>
    <t>Restores [MaxHP * 0.5] on each enemy kill in the vicinity of Raider's ultimate</t>
  </si>
  <si>
    <t>Improved Poise Near Totem Stela</t>
  </si>
  <si>
    <t>Reduces incoming poise damage by 0.1x while in the vicinity of Raider's ultimate</t>
  </si>
  <si>
    <t>[Revenant] Expend own HP to fully heal nearby allies when activating Art</t>
  </si>
  <si>
    <t>Decreases current HP by 50% on ultimate usage to fully heal allies' HP</t>
  </si>
  <si>
    <t>[Revenant] Trigger ghostflame explosion during Ultimate Art activation</t>
  </si>
  <si>
    <t>Performs a ghostflame explosion on ultimate. 20 base magic damage</t>
  </si>
  <si>
    <t>[Revenant] Strengthens family and allies when Ultimate Art is activated</t>
  </si>
  <si>
    <t>Increases ally damage by 1.25x for 30 seconds after ultimate art usage</t>
  </si>
  <si>
    <t>[Revenant] Power up while fighting alongside family</t>
  </si>
  <si>
    <t>Helen provides 1 HP/s, Frederick provides 1.1x damage, and Sebastian provides 20% elemental damage negation</t>
  </si>
  <si>
    <t>[Recluse] Collecting affinity residue activates Terra Magica</t>
  </si>
  <si>
    <t>Creates a sigil that increases magic damage by 1.15x when standing inside, lasts 30 seconds</t>
  </si>
  <si>
    <t xml:space="preserve">Cannot spawn a new terra magica while previous one is still active </t>
  </si>
  <si>
    <t>[Recluse] Suffer blood loss and increase attack power upon Art activation</t>
  </si>
  <si>
    <t>Ultimate deals [MaxHP * 0.2] damage to the player and increases damage by 1.16x for 30s</t>
  </si>
  <si>
    <t>Applies on top of the built in ~15% damage increase from her Ultimate art</t>
  </si>
  <si>
    <t>[Recluse] Activating Ultimate Art raises Max HP</t>
  </si>
  <si>
    <t>Increases maximum HP by 1.5x for 30 seconds. After 30 seconds, buff stays until hit</t>
  </si>
  <si>
    <t>[Executor] Character Skill Boosts Attack but Lowers Damage Negation While Attacking</t>
  </si>
  <si>
    <t>Increases damage by 1.35x for 6 seconds and lowers damage negation by 40% for 5 seconds</t>
  </si>
  <si>
    <t>[Executor] While Character Skill is active, unlocking use of cursed sword restores HP</t>
  </si>
  <si>
    <t>Restores [MaxHP * 0.05] + 100 HP</t>
  </si>
  <si>
    <t>[Executor] Roaring restores HP while art is active</t>
  </si>
  <si>
    <t>Restores [MaxHP * 0.15] after using the roar attack in the ultimate</t>
  </si>
  <si>
    <t>[Scholar] Prevent slowing of Character Skill</t>
  </si>
  <si>
    <t>Slows the decay rate of the Analyze meter</t>
  </si>
  <si>
    <t>[Scholar] Allies targeted by Character Skill gain boosted attack</t>
  </si>
  <si>
    <t>Upon usage of the skill, allies targeted will gain 1.2x (physical) / 1.15x (elemental) damage for 30 seconds</t>
  </si>
  <si>
    <t>[Scholar] Continuous damage inflicted on targets threaded by Ultimate Art</t>
  </si>
  <si>
    <t>Enemies affected by the ultimate takes 15 dps for 20 seconds</t>
  </si>
  <si>
    <t>[Scholar] Earn runes for each additional specimen acquired with Character Skill</t>
  </si>
  <si>
    <t>Gain 1300 runes when analyzing a new enemy type (works like a bestiary). Scanning the same enemy type at a different location will not provide the runes. (needs additional confirmation)</t>
  </si>
  <si>
    <t>[Undertaker] Activating Ultimate Art increases attack power</t>
  </si>
  <si>
    <t>Increases damage by 1.18x for 40 seconds after activating ultimate</t>
  </si>
  <si>
    <t>[Undertaker] Attack power increases by landing the final blow of a chain attack</t>
  </si>
  <si>
    <t>Increases damage by 1.16x for 20 seconds after hitting final hit of R1/L1 chain</t>
  </si>
  <si>
    <t>[Undertaker] Physical attacks boosted while assist effect from incantation is active for self</t>
  </si>
  <si>
    <t>Increases physical damage by 1.19x for 60 seconds after applying an incant buff</t>
  </si>
  <si>
    <t>[Undertaker] Contact with allies restores their HP while Ultimate Art is activated</t>
  </si>
  <si>
    <t>Allies restore 30% of max HP + 100 HP if they make contact with the ultimate</t>
  </si>
  <si>
    <t>Increases maximum HP by 1.1x</t>
  </si>
  <si>
    <t>Increases maximum FP by 1.15x</t>
  </si>
  <si>
    <t>Increases maximum stamina by 1.12x</t>
  </si>
  <si>
    <t>[Item] in possession at start of expedition</t>
  </si>
  <si>
    <t>Starts the game with the specified item</t>
  </si>
  <si>
    <t>Lists contains all crystal tears and perfume items</t>
  </si>
  <si>
    <t>Max HP increased for each great enemy defeated at a Great Church</t>
  </si>
  <si>
    <t>Increases maximum HP by 1.05x for each boss killed at a great church</t>
  </si>
  <si>
    <t>Runes and Item Discovery increased for each great enemy defeated at a Fort</t>
  </si>
  <si>
    <t>Increases discovery by 16 and rune gain by 1.055x for each boss killed at a fort</t>
  </si>
  <si>
    <t>Arcane increased for each great enemy defeated at a Ruin</t>
  </si>
  <si>
    <t>Increases arcane by 4 for each boss killed at a ruin</t>
  </si>
  <si>
    <t>Max stamina increased for each great enemy defeated at a Great Encampment</t>
  </si>
  <si>
    <t>Increases maximum stamina by 1.075x for each boss killed at a camp</t>
  </si>
  <si>
    <t>Dormant Power Helps Discover [Weapon Class]</t>
  </si>
  <si>
    <t>Changes the preferred weapon class to the specified class, making it more likely to obtain it</t>
  </si>
  <si>
    <t>Priority is given to first one in order. Does not stack with character's preferred weapon type</t>
  </si>
  <si>
    <t>Physical Attack Up +3/4</t>
  </si>
  <si>
    <t>Increases physical damage by 1.105x / 1.12x</t>
  </si>
  <si>
    <t>[Element] Attack Up +3/4</t>
  </si>
  <si>
    <t>Increases magic/fire/lightning/holy damage by 1.105x/1.12x</t>
  </si>
  <si>
    <t>Improved Affinity Attack Power +0/1/2</t>
  </si>
  <si>
    <t>Increases magic, fire, lightning, and holy damage by 1.05x/1.08x/1.1x</t>
  </si>
  <si>
    <t>Affects spells</t>
  </si>
  <si>
    <t>Physical attack power increases after using grease items +1/2</t>
  </si>
  <si>
    <t>Increases physical damage by 1.17x/1.2x for 30 seconds after using grease</t>
  </si>
  <si>
    <t>Different levels stack (ex. +1 stacks with +2)</t>
  </si>
  <si>
    <t>Attack power up when facing poison/scarlet rot/frostbite-afflicted enemy +1/2</t>
  </si>
  <si>
    <t>Increases damage by 1.16x/1.2x when attacking an enemy suffering from the specified status</t>
  </si>
  <si>
    <t>Sleep/Madness in Vicinity Improves Attack Power +0/+1</t>
  </si>
  <si>
    <t>Increases damage by 1.12x/1.22x after sleep/madness procs</t>
  </si>
  <si>
    <t>+0 stacks with +1</t>
  </si>
  <si>
    <t>Improved Guard Counters +1/2</t>
  </si>
  <si>
    <t>Increases guard counter damage by 1.25x/1.29x</t>
  </si>
  <si>
    <t>Improved [Consumable] Damage +1/2</t>
  </si>
  <si>
    <t>Increases pot/knife/stone/perfume damage by 1.3x/1.35x</t>
  </si>
  <si>
    <t>Art gauge charged from successful guarding +1</t>
  </si>
  <si>
    <t>Increases characterSkillGauge by 1.5 upon blocking an attack</t>
  </si>
  <si>
    <t>Art gauge fills moderately upon critical hit +1</t>
  </si>
  <si>
    <t>Increases characterSkillGauge by 6.5 upon riposte</t>
  </si>
  <si>
    <t>Defeating enemies fills more of the Art gauge +1</t>
  </si>
  <si>
    <t>Increases characterSkillGauge by 6.5 upon killing enemies</t>
  </si>
  <si>
    <t>Improved Sorceries/Incantations +0/1/2</t>
  </si>
  <si>
    <t>Increases sorcery/incant damage by 1.05x/1.085x/1.1x</t>
  </si>
  <si>
    <t>Reduced FP Consumption +0/1/2</t>
  </si>
  <si>
    <t>Reduces FP consumption by 0.92x/0.87x/0.84x</t>
  </si>
  <si>
    <t>Higher tier (+1/2) does not seem to appear on random relics</t>
  </si>
  <si>
    <t>Improved Physical Damage Negation +1/2</t>
  </si>
  <si>
    <t>Increases physical damage negation by 10.5%/12%</t>
  </si>
  <si>
    <t>Improved [Element] Damage Negation +1/2</t>
  </si>
  <si>
    <t>Increases magic/fire/lightning/holy damage negation by 15%/16%</t>
  </si>
  <si>
    <t>Improved Affinity Damage Negation +0/1/2</t>
  </si>
  <si>
    <t>Increases magic, fire, lightning, and holy damage negation by 6/10.5/12%</t>
  </si>
  <si>
    <t>Improved [Status] Resistance +1/2</t>
  </si>
  <si>
    <t>Increases specified status resistance by 110/130</t>
  </si>
  <si>
    <t>Partial HP Restoration upon Post-Damage Attacks +1/2</t>
  </si>
  <si>
    <t>Same as original, but increases HP gained per hit by 25%/35%</t>
  </si>
  <si>
    <t>+1 stacks with +2, but neither stack with +0</t>
  </si>
  <si>
    <t>HP Restoration upon Thrusting Counterattack +1</t>
  </si>
  <si>
    <t>Restores [MaxHP * 0.033] on counterhits</t>
  </si>
  <si>
    <t>HP restored when using medicinal boluses, etc. +1</t>
  </si>
  <si>
    <t>Replenish 80 HP from certain consumables</t>
  </si>
  <si>
    <t>Increases HP gained from flasks by 1.1x</t>
  </si>
  <si>
    <t>[Wylder] Character Skill inflicts Blood Loss</t>
  </si>
  <si>
    <t>Skill inflicts 60 (impact) / 55 (pull) bleed on hit</t>
  </si>
  <si>
    <t>[Guardian] Character Skill Boosts Damage Negation of Nearby Allies</t>
  </si>
  <si>
    <t>Increases damage negation for self and allies by 12% for 30 seconds after using skill</t>
  </si>
  <si>
    <t>[Ironeye] Character Skill Inflicts Heavy Poison Damage on Poisoned Enemies</t>
  </si>
  <si>
    <t>Skill inflicts 70 poison. Deals [MaxHP * 0.0025] + 250 damage on poison-afflicted enemies</t>
  </si>
  <si>
    <t>Testing suggests its still based on max HP</t>
  </si>
  <si>
    <t>[Duchess] Use Character Skill for Brief Invulnerability</t>
  </si>
  <si>
    <t>Makes you immune to damage for 0.4 seconds after using skill</t>
  </si>
  <si>
    <t>Translates to 24 iframes at 60FPS</t>
  </si>
  <si>
    <t>[Raider] Hit With Character Skill to Reduce Enemy Attack Power</t>
  </si>
  <si>
    <t>Decreases enemy damage dealt by 0.87x after hitting them with skill for 13 seconds</t>
  </si>
  <si>
    <t>[Revenant] Increases Max FP upon Ability Activation</t>
  </si>
  <si>
    <t>Permanently increases maximum FP by 1.0075x up to 20 stacks
Permanently increases maximum FP by 1.0085x up to 40 stacks
Permanently increases maximum FP by 1.0095x up to 60 stacks (cap, total 51% increased max FP)</t>
  </si>
  <si>
    <t>[Recluse] Collect Affinity Residues to Negate Affinity</t>
  </si>
  <si>
    <t>Increases magic/fire/lightning/holy damage negation by 20% upon absorbing respective residue for 30 seconds</t>
  </si>
  <si>
    <t>[Executor] Slowly Restore HP upon Ability Activation</t>
  </si>
  <si>
    <t>Restores [MaxHP * 0.0027] + 3 for 30 seconds after passive activates (recovering from status effect)</t>
  </si>
  <si>
    <t>[Scholar] Reduced FP consumption when using Character Skill on self</t>
  </si>
  <si>
    <t>Reduces FP consumption by 0.85x for 40 seconds after using character skill self buff</t>
  </si>
  <si>
    <t>[Undertaker] Executing Art readies Character Skill</t>
  </si>
  <si>
    <t>Allows you to perform Trance immediately after activating ultimate. Works with temporary ultimate use.</t>
  </si>
  <si>
    <t>[Wylder] Improved Mind, Reduced Vigor</t>
  </si>
  <si>
    <t>Decreases vigor by 5, increases mind by 10</t>
  </si>
  <si>
    <t>Stat changes assumes level 15 (same applies to the effects below); -100 HP, +50 FP</t>
  </si>
  <si>
    <t>[Wylder] Improved Intelligence and Faith, Reduced Strength and Dexterity</t>
  </si>
  <si>
    <t>Decreases strength by 7 and dexterity by 5, increases intelligence and faith by 15</t>
  </si>
  <si>
    <t>[Guardian] Improved Strength and Dexterity, Reduced Vigor</t>
  </si>
  <si>
    <t>Decreases vigor by 8, increases strength by 9 and dexterity by 19</t>
  </si>
  <si>
    <t>~16% AP increase for halberds, ~20% increase for heavy thrusting swords; -160 HP</t>
  </si>
  <si>
    <t>[Guardian] Improved Mind and Faith, Reduced Vigor</t>
  </si>
  <si>
    <t>Decreases vigor by 6, increases mind by 8 and faith by 17</t>
  </si>
  <si>
    <t>-120 HP, +40 FP</t>
  </si>
  <si>
    <t>[Ironeye] Improved Arcane, Reduced Dexterity</t>
  </si>
  <si>
    <t>Decreases dexterity by 9, increases arcane by 15</t>
  </si>
  <si>
    <t>~26% increase in status build up, ~ -6% reduction to bow attack</t>
  </si>
  <si>
    <t>[Ironeye] Improved Vigor and Strength, Reduced Dexterity</t>
  </si>
  <si>
    <t>Decreases dexterity by 13, increases strength by 20 and vigor by 5</t>
  </si>
  <si>
    <t>+100 HP</t>
  </si>
  <si>
    <t>[Duchess] Improved Vigor and Strength, Reduced Mind</t>
  </si>
  <si>
    <t>Decreases mind by 14, increases strength by 24 and vigor by 3</t>
  </si>
  <si>
    <t>-70 FP, +60 HP</t>
  </si>
  <si>
    <t>[Duchess] Improved Mind and Faith, Reduced Intelligence</t>
  </si>
  <si>
    <t>Decreases intelligence by 5, increases faith by 13 and mind by 3</t>
  </si>
  <si>
    <t>+15 FP; 14% increase to incant damage vs base duchess, but still 10% lower than Revenant</t>
  </si>
  <si>
    <t>[Raider] Improved Mind and Intelligence, Reduced Vigor and Endurance</t>
  </si>
  <si>
    <t>Decreases vigor by 8 and endurance by 4, increases intelligence by 35 and mind by 9</t>
  </si>
  <si>
    <t>-160 HP, +45 FP</t>
  </si>
  <si>
    <t>[Raider] Improved Arcane, Reduced Vigor</t>
  </si>
  <si>
    <t>Decreases vigor by 4, increases arcane by 17</t>
  </si>
  <si>
    <t>-80 HP</t>
  </si>
  <si>
    <t>[Revenant] Improved Vigor and Endurance, Reduced Mind</t>
  </si>
  <si>
    <t>Decreases mind by 11, increases vigor by 5 and endurance by 5</t>
  </si>
  <si>
    <t>-55 FP, +100 HP</t>
  </si>
  <si>
    <t>[Revenant] Improved Strength, Reduced Faith</t>
  </si>
  <si>
    <t>Decreases faith by 6, increases strength by 25</t>
  </si>
  <si>
    <t>[Recluse] Improved Vigor, Endurance, and Dexterity, Reduced Intelligence and Faith</t>
  </si>
  <si>
    <t>Decreases intelligence and faith by 10, increases dexterity by 20, endurance by 5, and vigor by 4</t>
  </si>
  <si>
    <t>+80 HP</t>
  </si>
  <si>
    <t>[Recluse] Improved Intelligence and Faith, Reduced Mind</t>
  </si>
  <si>
    <t>Decreases mind by 13, increases intelligence and faith by 12</t>
  </si>
  <si>
    <t>-65 FP, ~10% increase in spell damage</t>
  </si>
  <si>
    <t>[Executor] Improved Vigor and Endurance, Reduced Arcane</t>
  </si>
  <si>
    <t>Decreases arcane by 13, increases vigor by 5 and endurance by 6</t>
  </si>
  <si>
    <t>[Executor] Improved Dexterity and Arcane, Reduced Vigor</t>
  </si>
  <si>
    <t>Decreases vigor by 7, increases arcane by 9 and dexterity by 12</t>
  </si>
  <si>
    <t>-140 HP, ~11% increase in status build up, ~6.3% increase in AP for katana</t>
  </si>
  <si>
    <t>[Scholar] Improved Mind, Reduced Vigor</t>
  </si>
  <si>
    <t>Decreases vigor by 3, increases mind by 9</t>
  </si>
  <si>
    <t>[Scholar] Improved Endurance and Dexterity, Reduced Intelligence and Arcane</t>
  </si>
  <si>
    <t>Decreases intelligence by 4 and arcane by 20, increases endurance by 6 and dexterity by 40</t>
  </si>
  <si>
    <t>[Undertaker] Improved Dexterity, Reduced Vigor and Faith</t>
  </si>
  <si>
    <t>Decreases vigor by 5 and faith by 13, increases dexterity by 19</t>
  </si>
  <si>
    <t>[Undertaker] Improved Mind and Faith, Reduced Strength</t>
  </si>
  <si>
    <t>Decreases strength by 15, increases mind by 9 and faith by 12</t>
  </si>
  <si>
    <t>Taking Damage Causes [Status] Buildup</t>
  </si>
  <si>
    <t>Taking damage inflicts 32 (deathblight) / 40 (madness, sleep) / 44 (bleed, rot, frostbite) / 52 (poison) buildup on the user</t>
  </si>
  <si>
    <t>Poison / Rot / Frost does not trigger executor ability Tenacity until the status is recovered</t>
  </si>
  <si>
    <t>Reduced Strength and Intelligence</t>
  </si>
  <si>
    <t>Decreases strength and intelligence by 3</t>
  </si>
  <si>
    <t>Reduced Dexterity and Faith</t>
  </si>
  <si>
    <t>Decreases dexterity and faith by 3</t>
  </si>
  <si>
    <t>Reduced Dexterity and Intelligence</t>
  </si>
  <si>
    <t>Decreases dexterity and intelligence by 3</t>
  </si>
  <si>
    <t>Reduced Strength and Faith</t>
  </si>
  <si>
    <t>Decreases strength and faith by 3</t>
  </si>
  <si>
    <t>Reduced Vigor and Arcane</t>
  </si>
  <si>
    <t>Decreases vigor and arcane by 3</t>
  </si>
  <si>
    <t>-60 HP</t>
  </si>
  <si>
    <t>Reduced Rune Acquisition</t>
  </si>
  <si>
    <t>Decreases rune gain by 0.9x</t>
  </si>
  <si>
    <t>Reduces HP gained from flasks by 0.85x</t>
  </si>
  <si>
    <t>Ultimate Art Charging Impaired</t>
  </si>
  <si>
    <t>Decreases ultimate gauge gain by 0.85x</t>
  </si>
  <si>
    <t>Unlike Ultimate Art Gauge, affects both passive ult gain and ult gain from attacking</t>
  </si>
  <si>
    <t>Decreases all status resist by 80</t>
  </si>
  <si>
    <t>Decreases HP by 2/s</t>
  </si>
  <si>
    <t>Decreases damage negations by 45% right after rolling</t>
  </si>
  <si>
    <t>Decreases damage negations by 23% / 35% for 15 seconds on repeat rolls</t>
  </si>
  <si>
    <t>Decreases damage negations by 45% while using flasks</t>
  </si>
  <si>
    <t>Decreases damage by 0.915x when HP is below 85%</t>
  </si>
  <si>
    <t>Inflicts the user with 2 poison buildup per 0.22s when HP is below 85%</t>
  </si>
  <si>
    <t>Does not trigger executor ability Tenacity until the status is recovered</t>
  </si>
  <si>
    <t>Inflicts the user with 2 rot buildup per 0.24s when HP is below 85%</t>
  </si>
  <si>
    <t>Reduces maximum HP by 0.75x for 60 seconds after being downed</t>
  </si>
  <si>
    <t>Dormant Power</t>
  </si>
  <si>
    <t>Maximum HP raised</t>
  </si>
  <si>
    <t>Increases maximum HP by 1.1x / 1.15x</t>
  </si>
  <si>
    <t>Maximum FP raised</t>
  </si>
  <si>
    <t>Increases maximum FP by 1.1x / 1.15x</t>
  </si>
  <si>
    <t>Reduced FP Consumption</t>
  </si>
  <si>
    <t>Lowers FP consumption</t>
  </si>
  <si>
    <t>Lowers FP cost of skills, spells, and consumables by 0.9x / 0.85x</t>
  </si>
  <si>
    <t>Maximum stamina raised</t>
  </si>
  <si>
    <t>Increases maximum stamina by 1.1x / 1.15x</t>
  </si>
  <si>
    <t>Increases runes obtained from defeated enemies</t>
  </si>
  <si>
    <t>Increases rune gain by 1.1x</t>
  </si>
  <si>
    <t>Integration of Intelligence</t>
  </si>
  <si>
    <t>Attacks obtain a great amount of runes from enemies on rare occasions</t>
  </si>
  <si>
    <t>Has a chance to gain 10,000 runes from killing enemies</t>
  </si>
  <si>
    <t>Improved Physical Attack Power</t>
  </si>
  <si>
    <t>Raises physical attack</t>
  </si>
  <si>
    <t>Increases physical damage by 1.06x / 1.09x</t>
  </si>
  <si>
    <t>Raises attacks of magic, fire, lightning, holy affinities</t>
  </si>
  <si>
    <t>Increases magic, fire, lightning, and holy damage by 1.05x / 1.08x</t>
  </si>
  <si>
    <t>Improved Perfuming Arts</t>
  </si>
  <si>
    <t>Raises potency of items employing perfume</t>
  </si>
  <si>
    <t>Increases the damage of perfume items by 1.2x</t>
  </si>
  <si>
    <t>Improved Throwing Pots</t>
  </si>
  <si>
    <t>Raises potency of throwing pots</t>
  </si>
  <si>
    <t>Increases the damage of pot items by 1.2x</t>
  </si>
  <si>
    <t>Improved Roar &amp; Breath Attacks</t>
  </si>
  <si>
    <t>Enhances roars and breath attacks</t>
  </si>
  <si>
    <t>Increases the damage of roar and breath attacks by 1.2x</t>
  </si>
  <si>
    <t>Raises potency of sorceries and incantations</t>
  </si>
  <si>
    <t>Increases the damage of sorceries and incantations by 1.07x</t>
  </si>
  <si>
    <t>Sudden Enemy Death upon Attacks that Land</t>
  </si>
  <si>
    <t>Attacked enemies die regardless of remaining HP on rare occasions</t>
  </si>
  <si>
    <t>Has a chance to instantly kill enemies with each hit</t>
  </si>
  <si>
    <t>Each enemy has an HP threshold, refer to this sheet for more information</t>
  </si>
  <si>
    <t>Periodical Giant Glintblades</t>
  </si>
  <si>
    <t>Creates a glintblade which automatically attack nearby foes at regular intervals</t>
  </si>
  <si>
    <t>Creates 3 giant glintblades every 18s. 100 magic attack and 10.175 poise damage per blade</t>
  </si>
  <si>
    <t>Not affected by Glintblade sorcery buffs</t>
  </si>
  <si>
    <t>Attack Boost [Dragons]</t>
  </si>
  <si>
    <t>Enhances attacks against dragons</t>
  </si>
  <si>
    <t>Increases damage towards Draconic enemies by 1.1x and Ancient Draconic enemies by 1.05x</t>
  </si>
  <si>
    <t>Attack Boost [Lifeforms Born of Falling Stars]</t>
  </si>
  <si>
    <t>Enhances attacks against blockers lifeforms born of falling stars</t>
  </si>
  <si>
    <t>Increases damage towards Lifeforms Born of Falling Stars by 1.2x</t>
  </si>
  <si>
    <t>Attack Boost [Those Who Live in Death]</t>
  </si>
  <si>
    <t>Enhances attacks against Those Who Live in Death</t>
  </si>
  <si>
    <t>Increases damage towards Those Who Live in Death by 1.2x</t>
  </si>
  <si>
    <t>Communion Grants Anti-Dragon Effect</t>
  </si>
  <si>
    <t>Dragon Communion incantations add anti-dragon effect to right hand armament</t>
  </si>
  <si>
    <t>Increases damage towards Ancient Draconic enemies by 1.2x and Draconic enemies by 1.3x for 45 seconds</t>
  </si>
  <si>
    <t>Blood Loss in Vicinity Increases Attack Power</t>
  </si>
  <si>
    <t>Nearby blood loss increases attack power</t>
  </si>
  <si>
    <t>Increases damage by 1.2x for 20 seconds when bleed is activated</t>
  </si>
  <si>
    <t>Damage Boosted after Critical Hit</t>
  </si>
  <si>
    <t>Critical hits increase damage inflicted upon enemies</t>
  </si>
  <si>
    <t>Decreases enemy damage negation by 15% for 30 seconds</t>
  </si>
  <si>
    <t>Critical Hits Inflict Blood Loss</t>
  </si>
  <si>
    <t>Armament inflicts blood loss when performing critical hits</t>
  </si>
  <si>
    <t>Adds 50 blood loss buildup to the weapon after critical hits</t>
  </si>
  <si>
    <t>Enhances counterattacks unique to thrusting weapons</t>
  </si>
  <si>
    <t>Improved Stance-Breaking</t>
  </si>
  <si>
    <t>Attacks more likely to break stance of enemies</t>
  </si>
  <si>
    <t>Increases poise damage by 1.1x / 1.15x</t>
  </si>
  <si>
    <t>Extends spell effect duration</t>
  </si>
  <si>
    <t>Increases the duration of buff spells by 2x</t>
  </si>
  <si>
    <t>Traces of a Grace-Given Lord</t>
  </si>
  <si>
    <t>Newly found Sites of Grace raise attack power</t>
  </si>
  <si>
    <t>Increases attack power by 1.02x for each grace discovered. Stacks up to 10 times (1.2189x total)</t>
  </si>
  <si>
    <t>-</t>
  </si>
  <si>
    <t>Demon's Plating</t>
  </si>
  <si>
    <t>Enhances attack power depending on runes in possession</t>
  </si>
  <si>
    <t>Increases damage by 1.2x at 50k runes, 1.3x at 100k, 1.9x at 900k, and 3x at 2mil</t>
  </si>
  <si>
    <t>Demon's Plating Information</t>
  </si>
  <si>
    <t>Favor of Noklateo, the Shrouded City</t>
  </si>
  <si>
    <t>Rise from near-death, unaided, a single time and become more powerful for a short time</t>
  </si>
  <si>
    <t>After being revived:
Increases HP, FP, and stamina by 1.3x for 40 seconds
Regen 5% of your max HP per second for 10 seconds
~3x faster ultimate art charge for 10 seconds</t>
  </si>
  <si>
    <t>Power to Balance the World</t>
  </si>
  <si>
    <t>Rise from near-death unaided on occasion. Attack power increases after rising from death.</t>
  </si>
  <si>
    <t>After being revived, increases damage by 1.1x for 45 seconds</t>
  </si>
  <si>
    <t>Offensive
Defensive</t>
  </si>
  <si>
    <t>Favor of the Mountaintop</t>
  </si>
  <si>
    <t>Halves frostbite damage and frost buildup. Nearby frostbite boosts attack.</t>
  </si>
  <si>
    <t>Reduces frostbite damage and incoming frostbite buildup by 0.5x
Increases damage by 1.15x when frostbite procs for 20 seconds</t>
  </si>
  <si>
    <t>Boosts physical damage negation</t>
  </si>
  <si>
    <t>Increases physical damage negation by 12% / 18%</t>
  </si>
  <si>
    <t>Improved Non-Physical Damage Negation</t>
  </si>
  <si>
    <t>Boosts magic, fire, lightning, and holy damage negation</t>
  </si>
  <si>
    <t>Increases magic, fire, lightning, and holy damage negation by 12% / 18%</t>
  </si>
  <si>
    <t>Creates Holy Ground at Low HP</t>
  </si>
  <si>
    <t>At low HP, create holy ground, slowly restore HP, and improve damage negation</t>
  </si>
  <si>
    <t>Creates a holy ground when HP is below 20%. Heals for 10 hp/s and increases all damage negation by 20%. Lasts for 35 seconds.</t>
  </si>
  <si>
    <t>Raises poise</t>
  </si>
  <si>
    <t>Reduces incoming poise damage by 0.75x / 0.62x</t>
  </si>
  <si>
    <t>Raises resistance to all ailments</t>
  </si>
  <si>
    <t>Increases status resistance by 57 / 75</t>
  </si>
  <si>
    <t>Improved Dodging</t>
  </si>
  <si>
    <t>Longer invincibility windows during evasive maneuvers</t>
  </si>
  <si>
    <t>Does not stack with itself, Crucible Feather Talisman, or the Recluse's triple Lightning cocktail</t>
  </si>
  <si>
    <t>Cold Mirage</t>
  </si>
  <si>
    <t>Conceals oneself when faced with threats to life, neutralizing all attacks</t>
  </si>
  <si>
    <t>Turns you invisible at low HP, making you immune to all attacks for a short duration (duration currently unknown)</t>
  </si>
  <si>
    <t>Defensive/Regen</t>
  </si>
  <si>
    <t>Favor of the Rotten Woods</t>
  </si>
  <si>
    <t>Nullifies scarlet rot and increases max HP. Attacks after receiving damage partially recover HP.</t>
  </si>
  <si>
    <t>Increases maximum HP by 1.25x and attacks heal the user after taking damage for a short period of time</t>
  </si>
  <si>
    <t>HP Restoration upon Successive Attacks</t>
  </si>
  <si>
    <t>Successive attacks restore HP</t>
  </si>
  <si>
    <t>Restores 3 HP on continuous attacks</t>
  </si>
  <si>
    <t>Successive attacks restore FP</t>
  </si>
  <si>
    <t>Restores 10 FP on continuous attacks</t>
  </si>
  <si>
    <t>Successful guards restore HP</t>
  </si>
  <si>
    <t>Restores 2 HP after guarding an attack</t>
  </si>
  <si>
    <t>FP Recovery From Successful Guarding</t>
  </si>
  <si>
    <t>Successful guards restore FP</t>
  </si>
  <si>
    <t>Restores 2 FP after guarding an attack</t>
  </si>
  <si>
    <t>Critical Hit HP Restoration</t>
  </si>
  <si>
    <t>Critical hits restore HP</t>
  </si>
  <si>
    <t>Restores [MaxHP * 0.18] HP on critical hits</t>
  </si>
  <si>
    <t>Critical hits restore FP</t>
  </si>
  <si>
    <t>Boosts HP restoration from flasks</t>
  </si>
  <si>
    <t>Increases HP gained from flasks by 1.2x / 1.3x</t>
  </si>
  <si>
    <t>Gradual Restoration by Flask</t>
  </si>
  <si>
    <t>Flask slowly restores HP and provides increased HP restoration</t>
  </si>
  <si>
    <t>Restores a small portion of HP + [MaxHP * 0.01] every 0.1s for 8 seconds (80% total)</t>
  </si>
  <si>
    <t>When wearing "Flask Also Heals Allies," allies restore [MaxHP * 0.01] every 0.1s for 4 seconds (40% total)</t>
  </si>
  <si>
    <t>Poison &amp; Rot Trigger Continuous HP Recovery</t>
  </si>
  <si>
    <t>Poisoning or Scarlet Rot in vicinity continuously restores HP</t>
  </si>
  <si>
    <t>Restores 7 HP/s for 20 seconds after poison or rot is activated</t>
  </si>
  <si>
    <t>Raises stamina recovery speed</t>
  </si>
  <si>
    <t>Increases stamina recovery by 4/s / 6/s</t>
  </si>
  <si>
    <t>Ultimate Art Guage Charge Speed Up</t>
  </si>
  <si>
    <t>Improves the charging speed of Ultimate Art gauge</t>
  </si>
  <si>
    <t>Increases passive Ultimate Art gauge charge by 1.06x</t>
  </si>
  <si>
    <t>Character Skill Cooldown Reduction</t>
  </si>
  <si>
    <t>Shortens Character Skill cooldown time</t>
  </si>
  <si>
    <t>Lowers character skill cooldown by 0.9x</t>
  </si>
  <si>
    <t>Favor of the Night</t>
  </si>
  <si>
    <t>Permanently increases passive ult gauge regeneration by 1</t>
  </si>
  <si>
    <t>Unifying Fate</t>
  </si>
  <si>
    <t>Using flask also restores FP</t>
  </si>
  <si>
    <t>Amount of FP recovered is unknown</t>
  </si>
  <si>
    <t>Beast's Hunt</t>
  </si>
  <si>
    <t>Successive attacks restore stamina and hasten stamina recovery for self and nearby allies</t>
  </si>
  <si>
    <t>Recovers 15 stamina on successive attacks and increases stamina regen for self and allies by 5/s for 15 seconds</t>
  </si>
  <si>
    <t>I omitted some irrelevant ones</t>
  </si>
  <si>
    <t>Boss</t>
  </si>
  <si>
    <t>Generic</t>
  </si>
  <si>
    <t>Wylder</t>
  </si>
  <si>
    <t>Guardian</t>
  </si>
  <si>
    <t>Ironeye</t>
  </si>
  <si>
    <t>Duchess</t>
  </si>
  <si>
    <t>Raider</t>
  </si>
  <si>
    <t>Revenant</t>
  </si>
  <si>
    <t>Recluse</t>
  </si>
  <si>
    <t>Executor</t>
  </si>
  <si>
    <t>Scholar</t>
  </si>
  <si>
    <t>Undertaker</t>
  </si>
  <si>
    <t>Night of the Fathom</t>
  </si>
  <si>
    <t>Grand Burning Scene</t>
  </si>
  <si>
    <t>Slate Whetstone</t>
  </si>
  <si>
    <t>Stone Stake</t>
  </si>
  <si>
    <t>Golden Sprout</t>
  </si>
  <si>
    <t>Cleansing Tear</t>
  </si>
  <si>
    <t>Increased rune acquisition for self and allies</t>
  </si>
  <si>
    <t>[Wylder] Follow-up attacks possible when using Character Skill (greatsword only)</t>
  </si>
  <si>
    <t>[Guardian] Increased duration for Character skill</t>
  </si>
  <si>
    <t>[Ironeye] Art Charge Activation adds poison</t>
  </si>
  <si>
    <t>[Duchess] Improved Strength and Vigor, Reduced Mind</t>
  </si>
  <si>
    <t>[Executor] Roaring restores HP while Art is active</t>
  </si>
  <si>
    <t>Flask Also heals Allies</t>
  </si>
  <si>
    <t>Stonesword Key in possession at start of expedition</t>
  </si>
  <si>
    <t>Character skill Cooldown Reduction +3</t>
  </si>
  <si>
    <t>Attack power up when facing poison-afflicted enemy</t>
  </si>
  <si>
    <t>Strength +3</t>
  </si>
  <si>
    <t>Mind +3</t>
  </si>
  <si>
    <t>Improved Affinity Damage Negation</t>
  </si>
  <si>
    <t>Items confer effect to all nearby allies</t>
  </si>
  <si>
    <t>Rune discount for shop purchases while on expedition</t>
  </si>
  <si>
    <t>Ultimate Art Guage +3</t>
  </si>
  <si>
    <t>Vigor +3</t>
  </si>
  <si>
    <t>Intelligence +3</t>
  </si>
  <si>
    <t>Defeating Enemy fills more of the Art gauge</t>
  </si>
  <si>
    <t>Night of the Demon</t>
  </si>
  <si>
    <t>Silver Tear</t>
  </si>
  <si>
    <t>Third Volume</t>
  </si>
  <si>
    <t>Huge rune discount for shop purchases while on expedition</t>
  </si>
  <si>
    <t>[Wylder] Art gauge greatly filled when ability is activated</t>
  </si>
  <si>
    <t>Improved Damage Negation when at low HP</t>
  </si>
  <si>
    <t>Arcane +3</t>
  </si>
  <si>
    <t>HP Restoration upon Halberd Attacks</t>
  </si>
  <si>
    <t>Dexterity +2</t>
  </si>
  <si>
    <t>Arcane +2</t>
  </si>
  <si>
    <t>The Night of Dregs</t>
  </si>
  <si>
    <t>The Wylder's Earring</t>
  </si>
  <si>
    <t>Grand Burning Stone</t>
  </si>
  <si>
    <t>Improved Stance Breaking when wielding two armaments</t>
  </si>
  <si>
    <t>[Wylder] +1 additional Character Skill use</t>
  </si>
  <si>
    <t>[Guardian] Reflect a portion of damage received when ability is activated</t>
  </si>
  <si>
    <t>Attacks Inflict Rot when Damage is Taken</t>
  </si>
  <si>
    <t>Stamina Recovers with each successful attack</t>
  </si>
  <si>
    <t>[Wylder] Art activation spreads fire in area</t>
  </si>
  <si>
    <t>Art Gauge charged from successful guarding</t>
  </si>
  <si>
    <t>Endurance +3</t>
  </si>
  <si>
    <t>Stamina recovers with each successful attack</t>
  </si>
  <si>
    <t>Dark Night of the Baron</t>
  </si>
  <si>
    <t>Improved Critical Hits +1</t>
  </si>
  <si>
    <t>Critical Hit Earn Runes</t>
  </si>
  <si>
    <t>Dexterity +3</t>
  </si>
  <si>
    <t>HP restored when using medicinal boluses, etc</t>
  </si>
  <si>
    <t>Small Pouch in possession at start of expedition</t>
  </si>
  <si>
    <t>Night of the Champion</t>
  </si>
  <si>
    <t>Old Pocketwatch</t>
  </si>
  <si>
    <t>Grand Tranquil Scene</t>
  </si>
  <si>
    <t>Crown Medal</t>
  </si>
  <si>
    <t>Vestige of Night</t>
  </si>
  <si>
    <t>Blessed Flowers</t>
  </si>
  <si>
    <t>[Duchess] Dagger chain attack reprises event upon nearby enemies</t>
  </si>
  <si>
    <t>[Executor] While Character skill is active, unlocking use of cursed sword restores HP</t>
  </si>
  <si>
    <t>[Undertaker] Attack Power Increased by landing final blow of a chain attack</t>
  </si>
  <si>
    <t>Improved Dagger Attack Power</t>
  </si>
  <si>
    <t>Magic Attack Power Up +2</t>
  </si>
  <si>
    <t>Strength +2</t>
  </si>
  <si>
    <t>Faith +2</t>
  </si>
  <si>
    <t>Night of the Beast</t>
  </si>
  <si>
    <t>Blessed Iron Coin</t>
  </si>
  <si>
    <t>Bone-Like Stone</t>
  </si>
  <si>
    <t>Glass Necklace</t>
  </si>
  <si>
    <t>Stamina recovers with each successful attack +1</t>
  </si>
  <si>
    <t>Starting armament deals fire damage</t>
  </si>
  <si>
    <t>Vigor +2</t>
  </si>
  <si>
    <t>Poise +2</t>
  </si>
  <si>
    <t>Ultimate Art auto charge +3</t>
  </si>
  <si>
    <t>Dark Night of the Wise</t>
  </si>
  <si>
    <t>Improved Stance Breaking when two handing</t>
  </si>
  <si>
    <t>Max FP permanently increased after releasing Sorcerer's Rise Mechanism</t>
  </si>
  <si>
    <t>Poise +3</t>
  </si>
  <si>
    <t>Intelligence +2</t>
  </si>
  <si>
    <t>Faith +3</t>
  </si>
  <si>
    <t>Dark Night of the Miasma</t>
  </si>
  <si>
    <t>Nearby Frostbite Conceals Self</t>
  </si>
  <si>
    <t>Max FP Up with 3+ Staves Equipped</t>
  </si>
  <si>
    <t>Starting armament inflicts frost</t>
  </si>
  <si>
    <t>Max FP permanently increased after releasing Sorcerer's Rise mechanism</t>
  </si>
  <si>
    <t>Magic Attack Power Up</t>
  </si>
  <si>
    <t>Character Skill Cooldown Reduction +2</t>
  </si>
  <si>
    <t>Taking Attacks improves attack power</t>
  </si>
  <si>
    <t>Improved Poise &amp; Damage Negation when knocked back by damage</t>
  </si>
  <si>
    <t>Physical Attack Up +2</t>
  </si>
  <si>
    <t>Dark Night of the Fathom</t>
  </si>
  <si>
    <t>Fell Omen Fetish</t>
  </si>
  <si>
    <t>Grand Drizzly Stone</t>
  </si>
  <si>
    <t>Witch's Brooch</t>
  </si>
  <si>
    <t>Grand Drizzly Scene</t>
  </si>
  <si>
    <t>Torn Braided Cord</t>
  </si>
  <si>
    <t>Small Makeup Brush</t>
  </si>
  <si>
    <t>Leather Monocle Case</t>
  </si>
  <si>
    <t>[Wylder] Art Activation Spreads fire in the area</t>
  </si>
  <si>
    <t>[Guardian] Slowly restores nearby allies' HP while Art is active</t>
  </si>
  <si>
    <t>[Raider] Damage taken while using Character skill improves attack power and stamina</t>
  </si>
  <si>
    <t>[Undertaker] Physical Attacks boosted while assist effect from incantation is active</t>
  </si>
  <si>
    <t>Improved Throwing Knife Damage</t>
  </si>
  <si>
    <t>Change armament skill to Flaming Strike</t>
  </si>
  <si>
    <t>Slowly restore HP for self and allies when HP is low</t>
  </si>
  <si>
    <t>Vigor +1</t>
  </si>
  <si>
    <t>Fire attack power up +2</t>
  </si>
  <si>
    <t>Night of the Baron</t>
  </si>
  <si>
    <t>Besmirched Frame</t>
  </si>
  <si>
    <t>Old Portrait</t>
  </si>
  <si>
    <t>Night of the Lord</t>
  </si>
  <si>
    <t>Starlight Shards in possession at start of expedition</t>
  </si>
  <si>
    <t>[Revenant] Strengthens Families and Allies when Ultimate Art is activated</t>
  </si>
  <si>
    <t>The Will of the Balancers</t>
  </si>
  <si>
    <t>Dark Night of the Demon</t>
  </si>
  <si>
    <t>Night of the Wise</t>
  </si>
  <si>
    <t>Grand Luminous Scene</t>
  </si>
  <si>
    <t>Cracked Sealing Wax</t>
  </si>
  <si>
    <t>Golden Dew</t>
  </si>
  <si>
    <t>Black Claw Necklace</t>
  </si>
  <si>
    <t>Note "My Dear Successor"</t>
  </si>
  <si>
    <t>Attack Power permanently increased for each evergoal prisoner defeated</t>
  </si>
  <si>
    <t>[Executor] Character Skill boosts Attack but Attacking Drains HP</t>
  </si>
  <si>
    <t>[Scholar] Allies targeted by Character Skill gain boosted Attack</t>
  </si>
  <si>
    <t>Starting armament inflicts poison</t>
  </si>
  <si>
    <t>Critical hits Earn Runes</t>
  </si>
  <si>
    <t>HP recovery from successful guarding</t>
  </si>
  <si>
    <t>[Scholar] Prevent slowing of Character Skill progress</t>
  </si>
  <si>
    <t>Stoneward Key in possession at start of expedition</t>
  </si>
  <si>
    <t>Art Gauge Charged from successful guarding</t>
  </si>
  <si>
    <t>Character Skill cooldown reduction +3</t>
  </si>
  <si>
    <t>Night of the Miasma</t>
  </si>
  <si>
    <t>Edge of Order</t>
  </si>
  <si>
    <t>Critical hits fill more of the Art gauge</t>
  </si>
  <si>
    <t>Changes compatible armament's skill to Chilling Mist at start of expedition</t>
  </si>
  <si>
    <t>Improved Bow Attack Power</t>
  </si>
  <si>
    <t>Improved Colossal Weapon Attack Power</t>
  </si>
  <si>
    <t>Attack power up when facing frostbite-afflicted enemy</t>
  </si>
  <si>
    <t>Ultimate Art Auto Charge +3</t>
  </si>
  <si>
    <t>Starting armament deals holy damage</t>
  </si>
  <si>
    <t>Dark Night of the Champion</t>
  </si>
  <si>
    <t>Endurance +2</t>
  </si>
  <si>
    <t>Dark Night of the Beast</t>
  </si>
  <si>
    <t>Stamina Recovery upon Landing Attacks +1</t>
  </si>
  <si>
    <t>Fire Attack Power Up +2</t>
  </si>
  <si>
    <t>First three slots in each loadout are for regular relics. Last three slots are for deep relics. White slots are for any color.</t>
  </si>
  <si>
    <t>Deep of Night does not add new loadouts! These are 3 additional slots, for deep relics only, that are appended onto each existing loadout. Deep relics only take effect in Deep of Night expedition.</t>
  </si>
  <si>
    <t>Loadout</t>
  </si>
  <si>
    <t>Urn</t>
  </si>
  <si>
    <t>Goblet</t>
  </si>
  <si>
    <t>Chalice</t>
  </si>
  <si>
    <t>Soot-Covered Urn</t>
  </si>
  <si>
    <t>Sealed Urn</t>
  </si>
  <si>
    <t>Decrepit Goblet</t>
  </si>
  <si>
    <t>Forgotten Goblet</t>
  </si>
  <si>
    <t>Sacred Erdtree</t>
  </si>
  <si>
    <t>Spirit Shelter</t>
  </si>
  <si>
    <t>Giant's Cradle</t>
  </si>
  <si>
    <t>Sacdutree Grail</t>
  </si>
  <si>
    <t>Duration</t>
  </si>
  <si>
    <t>Acid Spraymist</t>
  </si>
  <si>
    <t>Releases acidic mist and lowers attack</t>
  </si>
  <si>
    <t>Decreases enemy physical damage dealt by 0.85x</t>
  </si>
  <si>
    <t>60s</t>
  </si>
  <si>
    <t>All boluses</t>
  </si>
  <si>
    <t>Alleviates "x" status and cures "x"</t>
  </si>
  <si>
    <t>Sets buildup to 0 and permanently increases status resist by 3 (sleep, madness, death) / 4 (poison, blood loss, frost) 
Recovers [MaxHP * 0.005] + 1 HP/s for 20 seconds</t>
  </si>
  <si>
    <t>Infinite</t>
  </si>
  <si>
    <t>Resistance buff caps at 10 usages</t>
  </si>
  <si>
    <t>Bloodboil Aromatic</t>
  </si>
  <si>
    <t>Raises attack but also damage received</t>
  </si>
  <si>
    <t>Increases physical damage by 1.35x and maximum stamina by 1.2x, but lowers damage negation by 35%</t>
  </si>
  <si>
    <t>Boiled Crab</t>
  </si>
  <si>
    <t>Greatly boosts physical damage negation for a time</t>
  </si>
  <si>
    <t>Increases physical damage negation by 20%</t>
  </si>
  <si>
    <t>Boiled Prawn</t>
  </si>
  <si>
    <t>Boosts physical damage negation for a time</t>
  </si>
  <si>
    <t>Cerulean Crystal Tear</t>
  </si>
  <si>
    <t>Greatly restores FP</t>
  </si>
  <si>
    <t>Restores all FP</t>
  </si>
  <si>
    <t>Instant</t>
  </si>
  <si>
    <t>Cerulean Hidden Tear</t>
  </si>
  <si>
    <t>Eliminates all FP consumption</t>
  </si>
  <si>
    <t>15s</t>
  </si>
  <si>
    <t>Crimson Bubbletear</t>
  </si>
  <si>
    <t>Automatically heals one's HP when HP is low</t>
  </si>
  <si>
    <t>Restores [MaxHP * 0.3] HP when HP is below 21% once</t>
  </si>
  <si>
    <t>120s</t>
  </si>
  <si>
    <t>Crimson Crystal Tear</t>
  </si>
  <si>
    <t>Greatly restores HP</t>
  </si>
  <si>
    <t>Restores [MaxHP * 0.7] HP</t>
  </si>
  <si>
    <t>Crimsonburst Crystal Tear</t>
  </si>
  <si>
    <t>Gradually restores one's HP for a limited time</t>
  </si>
  <si>
    <t>Increases HP recovery by 7/s</t>
  </si>
  <si>
    <t>Crimsonspill Crystal Tear</t>
  </si>
  <si>
    <t>Temporarily raises one's maximum HP</t>
  </si>
  <si>
    <t>Increases maximum HP by 1.2x</t>
  </si>
  <si>
    <t>Crimsonwhorl Bubbletear</t>
  </si>
  <si>
    <t>Converts incoming damage into recovered HP instead</t>
  </si>
  <si>
    <t>Restores [MaxHP * 0.05] HP when hit</t>
  </si>
  <si>
    <t>Only converts elemental damage, physical is unaffected</t>
  </si>
  <si>
    <t>Dragonwound Grease</t>
  </si>
  <si>
    <t>Boosts anti-dragon and physical attack</t>
  </si>
  <si>
    <t>Increases physical damage by 1.1x, increases damage towards Ancient Draconic enemies by 1.2x and Draconic enemies by 1.3x</t>
  </si>
  <si>
    <t>Exalted Flesh</t>
  </si>
  <si>
    <t>Temporarily boosts physical attack</t>
  </si>
  <si>
    <t>Increases physical damage by 1.2x</t>
  </si>
  <si>
    <t>30s</t>
  </si>
  <si>
    <t>Flame-Shrouding Cracked Tear</t>
  </si>
  <si>
    <t>Temporarily boosts the power of one's fire attacks</t>
  </si>
  <si>
    <t>Increases fire damage by 1.2x</t>
  </si>
  <si>
    <t>Freezing/Soporific/Poison/Blood/Rot Grease</t>
  </si>
  <si>
    <t>Coats armament, inflicting "x"</t>
  </si>
  <si>
    <t>Adds 30 status buildup to the weapon</t>
  </si>
  <si>
    <t>Gold-Pickled Fowl Foot</t>
  </si>
  <si>
    <t>Boosts rune acquisition for a time</t>
  </si>
  <si>
    <t>Greenburst Crystal Tear</t>
  </si>
  <si>
    <t>Temporarily boosts stamina recovery speed</t>
  </si>
  <si>
    <t>Increases stamina recovery by 15/s</t>
  </si>
  <si>
    <t>Greenspill Crystal Tear</t>
  </si>
  <si>
    <t>Temporarily raises one's maximum stamina</t>
  </si>
  <si>
    <t>Increases maximum stamina by 1.15x</t>
  </si>
  <si>
    <t>Holy-Shrouding Cracked Tear</t>
  </si>
  <si>
    <t>Temporarily boosts the power of one's holy attacks</t>
  </si>
  <si>
    <t>Increases holy damage by 1.2x</t>
  </si>
  <si>
    <t>Ironjar Aromatic</t>
  </si>
  <si>
    <t>Raises defense but lowers mobility</t>
  </si>
  <si>
    <t>Increases physical damage negations by 20% (reduces lightning by -60%)
Increases all resistances by 45 
Increases defFlickPower by 90 (some attacks bounce off the player)
Prevents stagger from Damage Level  0, 1, 2, 3, 5, 8, and 11 with reduced stagger from Damage Level 4, 6, 7, 9, and 10</t>
  </si>
  <si>
    <t>40s</t>
  </si>
  <si>
    <t>Leaden Hardtear</t>
  </si>
  <si>
    <t>Temporarily boosts one's poise</t>
  </si>
  <si>
    <t>Prevents stagger from damageLevel 1, 2, 3, 5, and 8 attacks</t>
  </si>
  <si>
    <t>10s</t>
  </si>
  <si>
    <t>Lightning-Shrouding Cracked Tear</t>
  </si>
  <si>
    <t>Temporarily boosts the power of one's lightning attacks</t>
  </si>
  <si>
    <t>Increases lightning damage by 1.2x</t>
  </si>
  <si>
    <t>Magic-Shrouding Cracked Tear</t>
  </si>
  <si>
    <t>Temporarily boosts the power of one's magic attacks</t>
  </si>
  <si>
    <t>Increases magic damage by 1.2x</t>
  </si>
  <si>
    <t>Magic/Fire/Lightning/Holy Grease</t>
  </si>
  <si>
    <t>Coats armament, inflicting "x" damage</t>
  </si>
  <si>
    <t>Adds 35 magic/fire/lightning/holy AP to the weapon</t>
  </si>
  <si>
    <t>Opaline Bubbletear</t>
  </si>
  <si>
    <t>Provides significant damage negation</t>
  </si>
  <si>
    <t>Increases damage negation by 90% until hit or duration expires</t>
  </si>
  <si>
    <t>Opaline Hardtear</t>
  </si>
  <si>
    <t>Temporarily boosts all forms of damage negation</t>
  </si>
  <si>
    <t>Increases all damage negation by 15%</t>
  </si>
  <si>
    <t>Pickled Turtle Neck</t>
  </si>
  <si>
    <t>Temporarily boosts stamina recovery</t>
  </si>
  <si>
    <t>Increases stamina recovery by 10/s</t>
  </si>
  <si>
    <t>Shield Grease</t>
  </si>
  <si>
    <t>Boosts guarding ability and all damage negation</t>
  </si>
  <si>
    <t>Increases damage negation by 20% and reduces stamina damage by 0.87x when blocking</t>
  </si>
  <si>
    <t>Silver-Pickled Fowl Foot</t>
  </si>
  <si>
    <t>Temporarily boosts item discovery</t>
  </si>
  <si>
    <t>Increases discovery by 30</t>
  </si>
  <si>
    <t>Speckled Hardtear</t>
  </si>
  <si>
    <t>Temporarily raises all resistances and heals all status effects</t>
  </si>
  <si>
    <t>Increases status resist by 90 and sets buildup to 0</t>
  </si>
  <si>
    <t>Spiked Crystal Tear</t>
  </si>
  <si>
    <t>Increases the power of charged attacks for a certain duration</t>
  </si>
  <si>
    <t>Increases charged heavy damage by 1.15x</t>
  </si>
  <si>
    <t>Starlight Shards</t>
  </si>
  <si>
    <t>Restores FP</t>
  </si>
  <si>
    <t xml:space="preserve">Recovers [MaxFP * 0.6] FP </t>
  </si>
  <si>
    <t>Stonebarb Cracked Tear</t>
  </si>
  <si>
    <t>Makes one's attacks more likely to break enemy stances</t>
  </si>
  <si>
    <t>Increases poise damage by 1.3x</t>
  </si>
  <si>
    <t>Thorny Cracked Tear</t>
  </si>
  <si>
    <t>Makes consecutive attacks grow stronger the longer they continue</t>
  </si>
  <si>
    <t>Increases damage by 1.09x/1.23x/1.48x/1.48x with continuous attacks</t>
  </si>
  <si>
    <t>Twiggy Cracked Tear</t>
  </si>
  <si>
    <t>Prevents one's runes from being lost upon death</t>
  </si>
  <si>
    <t>Uplifting Aromatic</t>
  </si>
  <si>
    <t>Boosts attack power and reduces incoming damage once</t>
  </si>
  <si>
    <t>Increases physical damage by 1.1x and damage negation by 90% until hit or duration expires</t>
  </si>
  <si>
    <t>Warming Stone</t>
  </si>
  <si>
    <t>Continuously heal yourself and allies</t>
  </si>
  <si>
    <t xml:space="preserve">Recovers 25 HP/s </t>
  </si>
  <si>
    <t>Windy Crystal Tear</t>
  </si>
  <si>
    <t>Increases the effectiveness of dodge rolls for a certain duration</t>
  </si>
  <si>
    <t>Adds 3 iframes (30fps) to roll, decreases damage negations by 10%</t>
  </si>
  <si>
    <t>Doesn't stack with Crucible Feather Talisman</t>
  </si>
  <si>
    <t>Base HP</t>
  </si>
  <si>
    <t>Base FP</t>
  </si>
  <si>
    <t>Base Stam</t>
  </si>
  <si>
    <t>Vigor</t>
  </si>
  <si>
    <t>Mind</t>
  </si>
  <si>
    <t>Endurance</t>
  </si>
  <si>
    <t>Strength</t>
  </si>
  <si>
    <t>Dexterity</t>
  </si>
  <si>
    <t>Intelligence</t>
  </si>
  <si>
    <t>Faith</t>
  </si>
  <si>
    <t>Arcane</t>
  </si>
  <si>
    <t>Phys Neg</t>
  </si>
  <si>
    <t>Slash Neg</t>
  </si>
  <si>
    <t>Strike Neg</t>
  </si>
  <si>
    <t>Thrust Neg</t>
  </si>
  <si>
    <t>Magic Neg</t>
  </si>
  <si>
    <t>Fire Neg</t>
  </si>
  <si>
    <t>Ltng Neg</t>
  </si>
  <si>
    <t>Holy Neg</t>
  </si>
  <si>
    <t>Poison Resist</t>
  </si>
  <si>
    <t>Rot Resist</t>
  </si>
  <si>
    <t>Bleed Resist</t>
  </si>
  <si>
    <t>Frost Resist</t>
  </si>
  <si>
    <t>Sleep Resist</t>
  </si>
  <si>
    <t>Madness Resist</t>
  </si>
  <si>
    <t>Blight Resist</t>
  </si>
  <si>
    <t>Poise</t>
  </si>
  <si>
    <t>Would Highly reccomend using "VIEW" options to improve readability</t>
  </si>
  <si>
    <t>ID</t>
  </si>
  <si>
    <t>Health</t>
  </si>
  <si>
    <t>Phys Dmg Neg</t>
  </si>
  <si>
    <t>Strike Dmg Neg</t>
  </si>
  <si>
    <t>Slash Dmg Neg</t>
  </si>
  <si>
    <t>Pierce Dmg Neg</t>
  </si>
  <si>
    <t>Magic Dmg Neg</t>
  </si>
  <si>
    <t>Fire Dmg Neg</t>
  </si>
  <si>
    <t xml:space="preserve">Ltng Dmg Neg	</t>
  </si>
  <si>
    <t>Holy Dmg Neg</t>
  </si>
  <si>
    <t>Gladius, Beast of Night</t>
  </si>
  <si>
    <t>Immune</t>
  </si>
  <si>
    <t>Gladius, Beast of Night (SIngle Dog)</t>
  </si>
  <si>
    <t>Adel, Baron of Night</t>
  </si>
  <si>
    <t>Gnoster, Wisdom of Night (Phase 1)</t>
  </si>
  <si>
    <t>Gnoster, Wisdom of Night (Phase 2)</t>
  </si>
  <si>
    <t>Faurtis Stoneshield (Phase 1)</t>
  </si>
  <si>
    <t>Faurtis Stoneshield (Phase 2)</t>
  </si>
  <si>
    <t>Maris, Fathom of Night</t>
  </si>
  <si>
    <t>Libra, Creature of Night</t>
  </si>
  <si>
    <t>Fulghor, Champion of Nightglow</t>
  </si>
  <si>
    <t>Caligo, Miasma of Night</t>
  </si>
  <si>
    <t>Weapon-Bequeathed Harmonia</t>
  </si>
  <si>
    <t>?</t>
  </si>
  <si>
    <t>Traitorous Straghess</t>
  </si>
  <si>
    <t>Pure Impulse Straghess</t>
  </si>
  <si>
    <t>The Shape of Night</t>
  </si>
  <si>
    <t>Heolstor the Nightlord</t>
  </si>
  <si>
    <t>st</t>
  </si>
  <si>
    <t>Gladius, Beast of Night (Single Dog)</t>
  </si>
  <si>
    <t>Animus, Ascendant Light</t>
  </si>
  <si>
    <t>Augur</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</si>
</sst>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5.0"/>
      <color theme="1"/>
      <name val="Calibri"/>
    </font>
    <font>
      <color theme="1"/>
      <name val="Arial"/>
    </font>
    <font>
      <sz val="12.0"/>
      <color theme="1"/>
      <name val="Calibri"/>
    </font>
    <font>
      <u/>
      <sz val="12.0"/>
      <color rgb="FF1155CC"/>
      <name val="Calibri"/>
    </font>
    <font>
      <u/>
      <sz val="12.0"/>
      <color rgb="FF0000FF"/>
      <name val="Calibri"/>
    </font>
    <font>
      <b/>
      <sz val="11.0"/>
      <color theme="1"/>
      <name val="Calibri"/>
    </font>
    <font>
      <sz val="11.0"/>
      <color theme="1"/>
      <name val="Calibri"/>
    </font>
    <font/>
    <font>
      <u/>
      <color rgb="FF1155CC"/>
      <name val="Arial"/>
    </font>
    <font>
      <u/>
      <color rgb="FF56A3F1"/>
      <name val="Arial"/>
    </font>
    <font>
      <sz val="11.0"/>
      <color theme="1"/>
      <name val="Arial"/>
    </font>
    <font>
      <b/>
      <i/>
      <color theme="1"/>
      <name val="Arial"/>
      <scheme val="minor"/>
    </font>
    <font>
      <color theme="1"/>
      <name val="Arial"/>
      <scheme val="minor"/>
    </font>
    <font>
      <b/>
      <color theme="1"/>
      <name val="Arial"/>
      <scheme val="minor"/>
    </font>
    <font>
      <sz val="11.0"/>
      <color rgb="FFFFFFFF"/>
      <name val="Calibri"/>
    </font>
  </fonts>
  <fills count="56">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B7B7B7"/>
        <bgColor rgb="FFB7B7B7"/>
      </patternFill>
    </fill>
    <fill>
      <patternFill patternType="solid">
        <fgColor rgb="FFF4CCCC"/>
        <bgColor rgb="FFF4CCCC"/>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000000"/>
        <bgColor rgb="FF000000"/>
      </patternFill>
    </fill>
    <fill>
      <patternFill patternType="solid">
        <fgColor theme="5"/>
        <bgColor theme="5"/>
      </patternFill>
    </fill>
    <fill>
      <patternFill patternType="solid">
        <fgColor rgb="FF1155CC"/>
        <bgColor rgb="FF1155CC"/>
      </patternFill>
    </fill>
    <fill>
      <patternFill patternType="solid">
        <fgColor theme="6"/>
        <bgColor theme="6"/>
      </patternFill>
    </fill>
    <fill>
      <patternFill patternType="solid">
        <fgColor theme="7"/>
        <bgColor theme="7"/>
      </patternFill>
    </fill>
    <fill>
      <patternFill patternType="solid">
        <fgColor rgb="FFCCCCCC"/>
        <bgColor rgb="FFCCCCCC"/>
      </patternFill>
    </fill>
    <fill>
      <patternFill patternType="solid">
        <fgColor rgb="FFFF0000"/>
        <bgColor rgb="FFFF0000"/>
      </patternFill>
    </fill>
    <fill>
      <patternFill patternType="solid">
        <fgColor rgb="FF4949FF"/>
        <bgColor rgb="FF4949FF"/>
      </patternFill>
    </fill>
    <fill>
      <patternFill patternType="solid">
        <fgColor rgb="FF6AA84F"/>
        <bgColor rgb="FF6AA84F"/>
      </patternFill>
    </fill>
    <fill>
      <patternFill patternType="solid">
        <fgColor rgb="FFEA9999"/>
        <bgColor rgb="FFEA9999"/>
      </patternFill>
    </fill>
    <fill>
      <patternFill patternType="solid">
        <fgColor rgb="FF4A86E8"/>
        <bgColor rgb="FF4A86E8"/>
      </patternFill>
    </fill>
    <fill>
      <patternFill patternType="solid">
        <fgColor rgb="FFB6D7A8"/>
        <bgColor rgb="FFB6D7A8"/>
      </patternFill>
    </fill>
    <fill>
      <patternFill patternType="solid">
        <fgColor rgb="FF999999"/>
        <bgColor rgb="FF999999"/>
      </patternFill>
    </fill>
    <fill>
      <patternFill patternType="solid">
        <fgColor rgb="FFDD7E6B"/>
        <bgColor rgb="FFDD7E6B"/>
      </patternFill>
    </fill>
    <fill>
      <patternFill patternType="solid">
        <fgColor rgb="FFD9D9D9"/>
        <bgColor rgb="FFD9D9D9"/>
      </patternFill>
    </fill>
    <fill>
      <patternFill patternType="solid">
        <fgColor rgb="FF91AFE3"/>
        <bgColor rgb="FF91AFE3"/>
      </patternFill>
    </fill>
    <fill>
      <patternFill patternType="solid">
        <fgColor rgb="FFDE9191"/>
        <bgColor rgb="FFDE9191"/>
      </patternFill>
    </fill>
    <fill>
      <patternFill patternType="solid">
        <fgColor rgb="FFFFF577"/>
        <bgColor rgb="FFFFF577"/>
      </patternFill>
    </fill>
    <fill>
      <patternFill patternType="solid">
        <fgColor rgb="FFE6CC33"/>
        <bgColor rgb="FFE6CC33"/>
      </patternFill>
    </fill>
    <fill>
      <patternFill patternType="solid">
        <fgColor rgb="FFE06666"/>
        <bgColor rgb="FFE06666"/>
      </patternFill>
    </fill>
    <fill>
      <patternFill patternType="solid">
        <fgColor rgb="FFCC0000"/>
        <bgColor rgb="FFCC0000"/>
      </patternFill>
    </fill>
    <fill>
      <patternFill patternType="solid">
        <fgColor rgb="FFA2C4C9"/>
        <bgColor rgb="FFA2C4C9"/>
      </patternFill>
    </fill>
    <fill>
      <patternFill patternType="solid">
        <fgColor rgb="FFB4A7D6"/>
        <bgColor rgb="FFB4A7D6"/>
      </patternFill>
    </fill>
    <fill>
      <patternFill patternType="solid">
        <fgColor rgb="FFBF9000"/>
        <bgColor rgb="FFBF9000"/>
      </patternFill>
    </fill>
    <fill>
      <patternFill patternType="solid">
        <fgColor rgb="FFE91D63"/>
        <bgColor rgb="FFE91D63"/>
      </patternFill>
    </fill>
    <fill>
      <patternFill patternType="solid">
        <fgColor rgb="FF5B95F9"/>
        <bgColor rgb="FF5B95F9"/>
      </patternFill>
    </fill>
    <fill>
      <patternFill patternType="solid">
        <fgColor rgb="FFF46524"/>
        <bgColor rgb="FFF46524"/>
      </patternFill>
    </fill>
    <fill>
      <patternFill patternType="solid">
        <fgColor rgb="FFF7CB4D"/>
        <bgColor rgb="FFF7CB4D"/>
      </patternFill>
    </fill>
    <fill>
      <patternFill patternType="solid">
        <fgColor rgb="FFCCA677"/>
        <bgColor rgb="FFCCA677"/>
      </patternFill>
    </fill>
    <fill>
      <patternFill patternType="solid">
        <fgColor rgb="FF8BC34A"/>
        <bgColor rgb="FF8BC34A"/>
      </patternFill>
    </fill>
    <fill>
      <patternFill patternType="solid">
        <fgColor rgb="FFFF5349"/>
        <bgColor rgb="FFFF5349"/>
      </patternFill>
    </fill>
    <fill>
      <patternFill patternType="solid">
        <fgColor rgb="FF4DD0E1"/>
        <bgColor rgb="FF4DD0E1"/>
      </patternFill>
    </fill>
    <fill>
      <patternFill patternType="solid">
        <fgColor rgb="FF8E7CC3"/>
        <bgColor rgb="FF8E7CC3"/>
      </patternFill>
    </fill>
    <fill>
      <patternFill patternType="solid">
        <fgColor rgb="FFFF9900"/>
        <bgColor rgb="FFFF9900"/>
      </patternFill>
    </fill>
    <fill>
      <patternFill patternType="solid">
        <fgColor rgb="FFFDDCE8"/>
        <bgColor rgb="FFFDDCE8"/>
      </patternFill>
    </fill>
    <fill>
      <patternFill patternType="solid">
        <fgColor rgb="FFE8F0FE"/>
        <bgColor rgb="FFE8F0FE"/>
      </patternFill>
    </fill>
    <fill>
      <patternFill patternType="solid">
        <fgColor rgb="FFFFE6DD"/>
        <bgColor rgb="FFFFE6DD"/>
      </patternFill>
    </fill>
    <fill>
      <patternFill patternType="solid">
        <fgColor rgb="FFFEF8E3"/>
        <bgColor rgb="FFFEF8E3"/>
      </patternFill>
    </fill>
    <fill>
      <patternFill patternType="solid">
        <fgColor rgb="FFF8F2EB"/>
        <bgColor rgb="FFF8F2EB"/>
      </patternFill>
    </fill>
    <fill>
      <patternFill patternType="solid">
        <fgColor rgb="FFEEF7E3"/>
        <bgColor rgb="FFEEF7E3"/>
      </patternFill>
    </fill>
    <fill>
      <patternFill patternType="solid">
        <fgColor rgb="FFFFDCDA"/>
        <bgColor rgb="FFFFDCDA"/>
      </patternFill>
    </fill>
    <fill>
      <patternFill patternType="solid">
        <fgColor rgb="FFFEC1C1"/>
        <bgColor rgb="FFFEC1C1"/>
      </patternFill>
    </fill>
    <fill>
      <patternFill patternType="solid">
        <fgColor rgb="FFE0F7FA"/>
        <bgColor rgb="FFE0F7FA"/>
      </patternFill>
    </fill>
    <fill>
      <patternFill patternType="solid">
        <fgColor rgb="FFDFCDF9"/>
        <bgColor rgb="FFDFCDF9"/>
      </patternFill>
    </fill>
    <fill>
      <patternFill patternType="solid">
        <fgColor rgb="FFFFC78F"/>
        <bgColor rgb="FFFFC78F"/>
      </patternFill>
    </fill>
    <fill>
      <patternFill patternType="solid">
        <fgColor rgb="FFB3B3B3"/>
        <bgColor rgb="FFB3B3B3"/>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rder>
    <border>
      <right style="thin">
        <color rgb="FF000000"/>
      </right>
    </border>
    <border>
      <bottom style="thin">
        <color rgb="FF000000"/>
      </bottom>
    </border>
    <border>
      <left style="thin">
        <color rgb="FF000000"/>
      </left>
      <bottom style="thin">
        <color rgb="FF000000"/>
      </bottom>
    </border>
    <border>
      <top style="thin">
        <color rgb="FF000000"/>
      </top>
    </border>
    <border>
      <right style="thin">
        <color rgb="FF000000"/>
      </right>
      <bottom style="thin">
        <color rgb="FF000000"/>
      </bottom>
    </border>
    <border>
      <right style="thin">
        <color rgb="FF000000"/>
      </right>
      <top style="thin">
        <color rgb="FF000000"/>
      </top>
    </border>
    <border>
      <left style="dotted">
        <color rgb="FF000000"/>
      </left>
      <right style="dotted">
        <color rgb="FF000000"/>
      </right>
    </border>
    <border>
      <right style="dotted">
        <color rgb="FF000000"/>
      </right>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readingOrder="0" vertical="bottom"/>
    </xf>
    <xf borderId="0" fillId="2" fontId="6" numFmtId="0" xfId="0" applyAlignment="1" applyFill="1" applyFont="1">
      <alignment horizontal="left" vertical="bottom"/>
    </xf>
    <xf borderId="0" fillId="3" fontId="7" numFmtId="3" xfId="0" applyAlignment="1" applyFill="1" applyFont="1" applyNumberFormat="1">
      <alignment horizontal="left" vertical="bottom"/>
    </xf>
    <xf borderId="0" fillId="3" fontId="7" numFmtId="3" xfId="0" applyAlignment="1" applyFont="1" applyNumberFormat="1">
      <alignment horizontal="left" readingOrder="0" vertical="bottom"/>
    </xf>
    <xf borderId="0" fillId="4" fontId="7" numFmtId="3" xfId="0" applyAlignment="1" applyFill="1" applyFont="1" applyNumberFormat="1">
      <alignment horizontal="left" vertical="bottom"/>
    </xf>
    <xf borderId="0" fillId="4" fontId="7" numFmtId="3" xfId="0" applyAlignment="1" applyFont="1" applyNumberFormat="1">
      <alignment horizontal="left" readingOrder="0" vertical="bottom"/>
    </xf>
    <xf borderId="1" fillId="5" fontId="6" numFmtId="0" xfId="0" applyAlignment="1" applyBorder="1" applyFill="1" applyFont="1">
      <alignment horizontal="center" shrinkToFit="0" vertical="center" wrapText="1"/>
    </xf>
    <xf borderId="1" fillId="5" fontId="6"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0" fontId="2" numFmtId="0" xfId="0" applyAlignment="1" applyBorder="1" applyFont="1">
      <alignment shrinkToFit="0" vertical="center" wrapText="1"/>
    </xf>
    <xf borderId="1" fillId="0" fontId="7" numFmtId="0" xfId="0" applyAlignment="1" applyBorder="1" applyFont="1">
      <alignment shrinkToFit="0" vertical="center" wrapText="1"/>
    </xf>
    <xf quotePrefix="1" borderId="1" fillId="0" fontId="7"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5"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5" fontId="7" numFmtId="0" xfId="0" applyAlignment="1" applyBorder="1" applyFont="1">
      <alignment horizontal="center" vertical="bottom"/>
    </xf>
    <xf borderId="1" fillId="5" fontId="7" numFmtId="0" xfId="0" applyAlignment="1" applyBorder="1" applyFont="1">
      <alignment horizontal="center" vertical="center"/>
    </xf>
    <xf borderId="1" fillId="5" fontId="7" numFmtId="0" xfId="0" applyAlignment="1" applyBorder="1" applyFont="1">
      <alignment horizontal="center" readingOrder="0" vertical="bottom"/>
    </xf>
    <xf borderId="1" fillId="0" fontId="7" numFmtId="0" xfId="0" applyAlignment="1" applyBorder="1" applyFont="1">
      <alignment readingOrder="0" vertical="center"/>
    </xf>
    <xf borderId="1" fillId="0" fontId="7" numFmtId="0" xfId="0" applyAlignment="1" applyBorder="1" applyFont="1">
      <alignment horizontal="left" readingOrder="0" vertical="center"/>
    </xf>
    <xf borderId="1" fillId="0" fontId="7" numFmtId="0" xfId="0" applyAlignment="1" applyBorder="1" applyFont="1">
      <alignment readingOrder="0" vertical="bottom"/>
    </xf>
    <xf borderId="1" fillId="0" fontId="7" numFmtId="0" xfId="0" applyAlignment="1" applyBorder="1" applyFont="1">
      <alignment horizontal="center" readingOrder="0" vertical="bottom"/>
    </xf>
    <xf borderId="1" fillId="0" fontId="7" numFmtId="0" xfId="0" applyAlignment="1" applyBorder="1" applyFont="1">
      <alignment vertical="bottom"/>
    </xf>
    <xf borderId="1" fillId="0" fontId="7" numFmtId="0" xfId="0" applyAlignment="1" applyBorder="1" applyFont="1">
      <alignment vertical="bottom"/>
    </xf>
    <xf borderId="1" fillId="0" fontId="7" numFmtId="0" xfId="0" applyAlignment="1" applyBorder="1" applyFont="1">
      <alignment vertical="center"/>
    </xf>
    <xf borderId="2" fillId="0" fontId="7" numFmtId="0" xfId="0" applyAlignment="1" applyBorder="1" applyFont="1">
      <alignment readingOrder="0" shrinkToFit="0" vertical="center" wrapText="0"/>
    </xf>
    <xf borderId="2" fillId="0" fontId="7" numFmtId="0" xfId="0" applyAlignment="1" applyBorder="1" applyFont="1">
      <alignment horizontal="center" readingOrder="0" vertical="center"/>
    </xf>
    <xf borderId="3" fillId="0" fontId="8" numFmtId="0" xfId="0" applyBorder="1" applyFont="1"/>
    <xf borderId="4" fillId="0" fontId="8" numFmtId="0" xfId="0" applyBorder="1" applyFont="1"/>
    <xf borderId="1" fillId="0" fontId="7" numFmtId="0" xfId="0" applyAlignment="1" applyBorder="1" applyFont="1">
      <alignment horizontal="center" readingOrder="0" vertical="center"/>
    </xf>
    <xf borderId="1" fillId="0" fontId="7" numFmtId="0" xfId="0" applyAlignment="1" applyBorder="1" applyFont="1">
      <alignment readingOrder="0"/>
    </xf>
    <xf borderId="1" fillId="0" fontId="7" numFmtId="0" xfId="0" applyBorder="1" applyFont="1"/>
    <xf quotePrefix="1" borderId="1" fillId="0" fontId="7" numFmtId="0" xfId="0" applyAlignment="1" applyBorder="1" applyFont="1">
      <alignment shrinkToFit="0" vertical="center" wrapText="1"/>
    </xf>
    <xf quotePrefix="1" borderId="1" fillId="0" fontId="7" numFmtId="0" xfId="0" applyAlignment="1" applyBorder="1" applyFont="1">
      <alignment shrinkToFit="0" vertical="center" wrapText="1"/>
    </xf>
    <xf borderId="1" fillId="5" fontId="7" numFmtId="0" xfId="0" applyAlignment="1" applyBorder="1" applyFont="1">
      <alignment horizontal="center" shrinkToFit="0" vertical="center" wrapText="1"/>
    </xf>
    <xf borderId="1" fillId="0" fontId="9" numFmtId="0" xfId="0" applyAlignment="1" applyBorder="1" applyFont="1">
      <alignment shrinkToFit="0" vertical="center" wrapText="1"/>
    </xf>
    <xf borderId="1" fillId="0" fontId="10" numFmtId="0" xfId="0" applyAlignment="1" applyBorder="1" applyFont="1">
      <alignment readingOrder="0" shrinkToFit="0" vertical="center" wrapText="1"/>
    </xf>
    <xf borderId="1" fillId="0" fontId="1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12" numFmtId="0" xfId="0" applyAlignment="1" applyFont="1">
      <alignment readingOrder="0" shrinkToFit="0" wrapText="1"/>
    </xf>
    <xf borderId="0" fillId="3" fontId="12" numFmtId="0" xfId="0" applyAlignment="1" applyFont="1">
      <alignment readingOrder="0" shrinkToFit="0" wrapText="1"/>
    </xf>
    <xf borderId="0" fillId="0" fontId="6" numFmtId="0" xfId="0" applyAlignment="1" applyFont="1">
      <alignment horizontal="center" shrinkToFit="0" vertical="bottom" wrapText="1"/>
    </xf>
    <xf borderId="0" fillId="0" fontId="13" numFmtId="0" xfId="0" applyAlignment="1" applyFont="1">
      <alignment shrinkToFit="0" wrapText="1"/>
    </xf>
    <xf borderId="1" fillId="0" fontId="6" numFmtId="0" xfId="0" applyAlignment="1" applyBorder="1" applyFont="1">
      <alignment horizontal="center" shrinkToFit="0" vertical="bottom" wrapText="1"/>
    </xf>
    <xf borderId="5" fillId="0" fontId="6" numFmtId="0" xfId="0" applyAlignment="1" applyBorder="1" applyFont="1">
      <alignment horizontal="center" shrinkToFit="0" vertical="bottom" wrapText="1"/>
    </xf>
    <xf borderId="6" fillId="0" fontId="6" numFmtId="0" xfId="0" applyAlignment="1" applyBorder="1" applyFont="1">
      <alignment horizontal="center" shrinkToFit="0" vertical="bottom" wrapText="1"/>
    </xf>
    <xf borderId="6" fillId="0" fontId="6" numFmtId="0" xfId="0" applyAlignment="1" applyBorder="1" applyFont="1">
      <alignment horizontal="center" readingOrder="0" shrinkToFit="0" vertical="bottom" wrapText="1"/>
    </xf>
    <xf borderId="7" fillId="6" fontId="7" numFmtId="0" xfId="0" applyAlignment="1" applyBorder="1" applyFill="1" applyFont="1">
      <alignment shrinkToFit="0" vertical="bottom" wrapText="1"/>
    </xf>
    <xf borderId="3" fillId="6" fontId="7" numFmtId="0" xfId="0" applyAlignment="1" applyBorder="1" applyFont="1">
      <alignment shrinkToFit="0" vertical="bottom" wrapText="1"/>
    </xf>
    <xf borderId="3" fillId="6" fontId="7" numFmtId="0" xfId="0" applyAlignment="1" applyBorder="1" applyFont="1">
      <alignment readingOrder="0" shrinkToFit="0" vertical="bottom" wrapText="1"/>
    </xf>
    <xf borderId="2" fillId="6" fontId="7" numFmtId="0" xfId="0" applyAlignment="1" applyBorder="1" applyFont="1">
      <alignment shrinkToFit="0" vertical="bottom" wrapText="1"/>
    </xf>
    <xf borderId="0" fillId="0" fontId="7" numFmtId="0" xfId="0" applyAlignment="1" applyFont="1">
      <alignment vertical="bottom"/>
    </xf>
    <xf borderId="8" fillId="0" fontId="7" numFmtId="0" xfId="0" applyAlignment="1" applyBorder="1" applyFont="1">
      <alignment shrinkToFit="0" vertical="bottom" wrapText="1"/>
    </xf>
    <xf borderId="3" fillId="0" fontId="7" numFmtId="0" xfId="0" applyAlignment="1" applyBorder="1" applyFont="1">
      <alignment shrinkToFit="0" vertical="bottom" wrapText="1"/>
    </xf>
    <xf borderId="0" fillId="0" fontId="13" numFmtId="0" xfId="0" applyAlignment="1" applyFont="1">
      <alignment readingOrder="0" shrinkToFit="0" wrapText="1"/>
    </xf>
    <xf borderId="3" fillId="0" fontId="13" numFmtId="0" xfId="0" applyAlignment="1" applyBorder="1" applyFont="1">
      <alignment shrinkToFit="0" wrapText="1"/>
    </xf>
    <xf borderId="3" fillId="0" fontId="7" numFmtId="0" xfId="0" applyAlignment="1" applyBorder="1" applyFont="1">
      <alignment readingOrder="0" shrinkToFit="0" vertical="bottom" wrapText="1"/>
    </xf>
    <xf borderId="0" fillId="0" fontId="7" numFmtId="0" xfId="0" applyAlignment="1" applyFont="1">
      <alignment readingOrder="0" shrinkToFit="0" vertical="bottom" wrapText="1"/>
    </xf>
    <xf borderId="8" fillId="3" fontId="7" numFmtId="0" xfId="0" applyAlignment="1" applyBorder="1" applyFont="1">
      <alignment shrinkToFit="0" vertical="bottom" wrapText="1"/>
    </xf>
    <xf borderId="0" fillId="0" fontId="7" numFmtId="0" xfId="0" applyAlignment="1" applyFont="1">
      <alignment shrinkToFit="0" vertical="bottom" wrapText="1"/>
    </xf>
    <xf borderId="8" fillId="6" fontId="7" numFmtId="0" xfId="0" applyAlignment="1" applyBorder="1" applyFont="1">
      <alignment shrinkToFit="0" vertical="bottom" wrapText="1"/>
    </xf>
    <xf borderId="4" fillId="0" fontId="7" numFmtId="0" xfId="0" applyAlignment="1" applyBorder="1" applyFont="1">
      <alignment shrinkToFit="0" vertical="bottom" wrapText="1"/>
    </xf>
    <xf borderId="0" fillId="3" fontId="13" numFmtId="0" xfId="0" applyAlignment="1" applyFont="1">
      <alignment readingOrder="0" shrinkToFit="0" wrapText="1"/>
    </xf>
    <xf borderId="8" fillId="7" fontId="7" numFmtId="0" xfId="0" applyAlignment="1" applyBorder="1" applyFill="1" applyFont="1">
      <alignment shrinkToFit="0" vertical="bottom" wrapText="1"/>
    </xf>
    <xf borderId="3" fillId="7" fontId="7" numFmtId="0" xfId="0" applyAlignment="1" applyBorder="1" applyFont="1">
      <alignment shrinkToFit="0" vertical="bottom" wrapText="1"/>
    </xf>
    <xf borderId="0" fillId="7" fontId="7" numFmtId="0" xfId="0" applyAlignment="1" applyFont="1">
      <alignment shrinkToFit="0" vertical="bottom" wrapText="1"/>
    </xf>
    <xf borderId="0" fillId="7" fontId="7" numFmtId="0" xfId="0" applyAlignment="1" applyFont="1">
      <alignment readingOrder="0" shrinkToFit="0" vertical="bottom" wrapText="1"/>
    </xf>
    <xf borderId="0" fillId="3" fontId="13" numFmtId="0" xfId="0" applyAlignment="1" applyFont="1">
      <alignment shrinkToFit="0" wrapText="1"/>
    </xf>
    <xf borderId="9" fillId="0" fontId="13" numFmtId="0" xfId="0" applyAlignment="1" applyBorder="1" applyFont="1">
      <alignment shrinkToFit="0" wrapText="1"/>
    </xf>
    <xf borderId="8" fillId="7" fontId="7" numFmtId="0" xfId="0" applyAlignment="1" applyBorder="1" applyFont="1">
      <alignment readingOrder="0" shrinkToFit="0" vertical="bottom" wrapText="1"/>
    </xf>
    <xf borderId="8" fillId="0" fontId="7" numFmtId="0" xfId="0" applyAlignment="1" applyBorder="1" applyFont="1">
      <alignment readingOrder="0" shrinkToFit="0" vertical="bottom" wrapText="1"/>
    </xf>
    <xf borderId="10" fillId="0" fontId="7" numFmtId="0" xfId="0" applyAlignment="1" applyBorder="1" applyFont="1">
      <alignment shrinkToFit="0" vertical="bottom" wrapText="1"/>
    </xf>
    <xf borderId="11" fillId="0" fontId="7" numFmtId="0" xfId="0" applyAlignment="1" applyBorder="1" applyFont="1">
      <alignment readingOrder="0" shrinkToFit="0" vertical="bottom" wrapText="1"/>
    </xf>
    <xf borderId="10" fillId="0" fontId="7" numFmtId="0" xfId="0" applyAlignment="1" applyBorder="1" applyFont="1">
      <alignment readingOrder="0" shrinkToFit="0" vertical="bottom" wrapText="1"/>
    </xf>
    <xf borderId="8" fillId="8" fontId="7" numFmtId="0" xfId="0" applyAlignment="1" applyBorder="1" applyFill="1" applyFont="1">
      <alignment shrinkToFit="0" vertical="bottom" wrapText="1"/>
    </xf>
    <xf borderId="2" fillId="8" fontId="7" numFmtId="0" xfId="0" applyAlignment="1" applyBorder="1" applyFont="1">
      <alignment shrinkToFit="0" vertical="bottom" wrapText="1"/>
    </xf>
    <xf borderId="3" fillId="8" fontId="7" numFmtId="0" xfId="0" applyAlignment="1" applyBorder="1" applyFont="1">
      <alignment shrinkToFit="0" vertical="bottom" wrapText="1"/>
    </xf>
    <xf borderId="0" fillId="8" fontId="7" numFmtId="0" xfId="0" applyAlignment="1" applyFont="1">
      <alignment readingOrder="0" shrinkToFit="0" vertical="bottom" wrapText="1"/>
    </xf>
    <xf borderId="12" fillId="8" fontId="7" numFmtId="0" xfId="0" applyAlignment="1" applyBorder="1" applyFont="1">
      <alignment shrinkToFit="0" vertical="bottom" wrapText="1"/>
    </xf>
    <xf borderId="8" fillId="8" fontId="7" numFmtId="0" xfId="0" applyAlignment="1" applyBorder="1" applyFont="1">
      <alignment readingOrder="0" shrinkToFit="0" vertical="bottom" wrapText="1"/>
    </xf>
    <xf borderId="13" fillId="0" fontId="13" numFmtId="0" xfId="0" applyAlignment="1" applyBorder="1" applyFont="1">
      <alignment shrinkToFit="0" wrapText="1"/>
    </xf>
    <xf borderId="0" fillId="8" fontId="7" numFmtId="0" xfId="0" applyAlignment="1" applyFont="1">
      <alignment shrinkToFit="0" vertical="bottom" wrapText="1"/>
    </xf>
    <xf borderId="8" fillId="9" fontId="7" numFmtId="0" xfId="0" applyAlignment="1" applyBorder="1" applyFill="1" applyFont="1">
      <alignment shrinkToFit="0" vertical="bottom" wrapText="1"/>
    </xf>
    <xf borderId="9" fillId="9" fontId="7" numFmtId="0" xfId="0" applyAlignment="1" applyBorder="1" applyFont="1">
      <alignment shrinkToFit="0" vertical="bottom" wrapText="1"/>
    </xf>
    <xf borderId="14" fillId="9" fontId="7" numFmtId="0" xfId="0" applyAlignment="1" applyBorder="1" applyFont="1">
      <alignment shrinkToFit="0" vertical="bottom" wrapText="1"/>
    </xf>
    <xf borderId="0" fillId="9" fontId="7" numFmtId="0" xfId="0" applyAlignment="1" applyFont="1">
      <alignment shrinkToFit="0" vertical="bottom" wrapText="1"/>
    </xf>
    <xf borderId="3" fillId="9" fontId="7" numFmtId="0" xfId="0" applyAlignment="1" applyBorder="1" applyFont="1">
      <alignment shrinkToFit="0" vertical="bottom" wrapText="1"/>
    </xf>
    <xf borderId="3" fillId="9" fontId="7" numFmtId="0" xfId="0" applyAlignment="1" applyBorder="1" applyFont="1">
      <alignment readingOrder="0" shrinkToFit="0" vertical="bottom" wrapText="1"/>
    </xf>
    <xf borderId="9" fillId="0" fontId="7" numFmtId="0" xfId="0" applyAlignment="1" applyBorder="1" applyFont="1">
      <alignment shrinkToFit="0" vertical="bottom" wrapText="1"/>
    </xf>
    <xf borderId="11" fillId="0" fontId="7" numFmtId="0" xfId="0" applyAlignment="1" applyBorder="1" applyFont="1">
      <alignment shrinkToFit="0" vertical="bottom" wrapText="1"/>
    </xf>
    <xf borderId="8" fillId="9" fontId="7" numFmtId="0" xfId="0" applyAlignment="1" applyBorder="1" applyFont="1">
      <alignment readingOrder="0" shrinkToFit="0" vertical="bottom" wrapText="1"/>
    </xf>
    <xf borderId="0" fillId="0" fontId="14" numFmtId="0" xfId="0" applyAlignment="1" applyFont="1">
      <alignment horizontal="center" readingOrder="0"/>
    </xf>
    <xf borderId="0" fillId="0" fontId="14" numFmtId="0" xfId="0" applyAlignment="1" applyFont="1">
      <alignment horizontal="center" readingOrder="0" shrinkToFit="0" vertical="center" wrapText="1"/>
    </xf>
    <xf borderId="0" fillId="0" fontId="14" numFmtId="0" xfId="0" applyAlignment="1" applyFont="1">
      <alignment horizontal="center" readingOrder="0" vertical="center"/>
    </xf>
    <xf borderId="0" fillId="10" fontId="14" numFmtId="0" xfId="0" applyAlignment="1" applyFill="1" applyFont="1">
      <alignment horizontal="center" readingOrder="0" vertical="center"/>
    </xf>
    <xf borderId="1" fillId="11" fontId="13" numFmtId="0" xfId="0" applyBorder="1" applyFill="1" applyFont="1"/>
    <xf borderId="1" fillId="12" fontId="13" numFmtId="0" xfId="0" applyAlignment="1" applyBorder="1" applyFill="1" applyFont="1">
      <alignment horizontal="center"/>
    </xf>
    <xf borderId="1" fillId="10" fontId="13" numFmtId="0" xfId="0" applyAlignment="1" applyBorder="1" applyFont="1">
      <alignment horizontal="center"/>
    </xf>
    <xf borderId="1" fillId="13" fontId="13" numFmtId="0" xfId="0" applyBorder="1" applyFill="1" applyFont="1"/>
    <xf borderId="1" fillId="14" fontId="13" numFmtId="0" xfId="0" applyBorder="1" applyFill="1" applyFont="1"/>
    <xf borderId="1" fillId="0" fontId="13" numFmtId="0" xfId="0" applyAlignment="1" applyBorder="1" applyFont="1">
      <alignment horizontal="center"/>
    </xf>
    <xf borderId="1" fillId="3" fontId="13" numFmtId="0" xfId="0" applyAlignment="1" applyBorder="1" applyFont="1">
      <alignment horizontal="center"/>
    </xf>
    <xf borderId="1" fillId="10" fontId="13" numFmtId="0" xfId="0" applyAlignment="1" applyBorder="1" applyFont="1">
      <alignment horizontal="center" readingOrder="0"/>
    </xf>
    <xf borderId="1" fillId="3" fontId="13" numFmtId="0" xfId="0" applyBorder="1" applyFont="1"/>
    <xf borderId="1" fillId="0" fontId="2" numFmtId="0" xfId="0" applyAlignment="1" applyBorder="1" applyFont="1">
      <alignment vertical="center"/>
    </xf>
    <xf borderId="1" fillId="0" fontId="7" numFmtId="0" xfId="0" applyAlignment="1" applyBorder="1" applyFont="1">
      <alignment horizontal="center" vertical="center"/>
    </xf>
    <xf borderId="1" fillId="0" fontId="7" numFmtId="0" xfId="0" applyAlignment="1" applyBorder="1" applyFont="1">
      <alignment vertical="center"/>
    </xf>
    <xf borderId="1" fillId="0" fontId="7" numFmtId="0" xfId="0" applyAlignment="1" applyBorder="1" applyFont="1">
      <alignment horizontal="center" vertical="center"/>
    </xf>
    <xf borderId="1" fillId="15" fontId="7" numFmtId="0" xfId="0" applyAlignment="1" applyBorder="1" applyFill="1" applyFont="1">
      <alignment vertical="bottom"/>
    </xf>
    <xf borderId="1" fillId="16" fontId="7" numFmtId="0" xfId="0" applyAlignment="1" applyBorder="1" applyFill="1" applyFont="1">
      <alignment horizontal="center" vertical="bottom"/>
    </xf>
    <xf borderId="1" fillId="17" fontId="7" numFmtId="0" xfId="0" applyAlignment="1" applyBorder="1" applyFill="1" applyFont="1">
      <alignment horizontal="center" vertical="bottom"/>
    </xf>
    <xf borderId="1" fillId="18" fontId="7" numFmtId="0" xfId="0" applyAlignment="1" applyBorder="1" applyFill="1" applyFont="1">
      <alignment horizontal="center" vertical="bottom"/>
    </xf>
    <xf borderId="1" fillId="19" fontId="7" numFmtId="0" xfId="0" applyAlignment="1" applyBorder="1" applyFill="1" applyFont="1">
      <alignment horizontal="center" vertical="bottom"/>
    </xf>
    <xf borderId="1" fillId="20" fontId="7" numFmtId="0" xfId="0" applyAlignment="1" applyBorder="1" applyFill="1" applyFont="1">
      <alignment horizontal="center" vertical="bottom"/>
    </xf>
    <xf borderId="1" fillId="21" fontId="7" numFmtId="0" xfId="0" applyAlignment="1" applyBorder="1" applyFill="1" applyFont="1">
      <alignment horizontal="center" vertical="bottom"/>
    </xf>
    <xf borderId="1" fillId="22" fontId="7" numFmtId="0" xfId="0" applyAlignment="1" applyBorder="1" applyFill="1" applyFont="1">
      <alignment horizontal="center" vertical="bottom"/>
    </xf>
    <xf borderId="1" fillId="15" fontId="7" numFmtId="0" xfId="0" applyAlignment="1" applyBorder="1" applyFont="1">
      <alignment horizontal="center" vertical="bottom"/>
    </xf>
    <xf borderId="1" fillId="8" fontId="7" numFmtId="0" xfId="0" applyAlignment="1" applyBorder="1" applyFont="1">
      <alignment horizontal="center" vertical="bottom"/>
    </xf>
    <xf borderId="1" fillId="9" fontId="7" numFmtId="0" xfId="0" applyAlignment="1" applyBorder="1" applyFont="1">
      <alignment horizontal="center" vertical="bottom"/>
    </xf>
    <xf borderId="1" fillId="23" fontId="7" numFmtId="0" xfId="0" applyAlignment="1" applyBorder="1" applyFill="1" applyFont="1">
      <alignment horizontal="center" vertical="bottom"/>
    </xf>
    <xf borderId="1" fillId="24" fontId="7" numFmtId="0" xfId="0" applyAlignment="1" applyBorder="1" applyFill="1" applyFont="1">
      <alignment horizontal="center" vertical="bottom"/>
    </xf>
    <xf borderId="1" fillId="25" fontId="7" numFmtId="0" xfId="0" applyAlignment="1" applyBorder="1" applyFill="1" applyFont="1">
      <alignment horizontal="center" vertical="bottom"/>
    </xf>
    <xf borderId="1" fillId="26" fontId="7" numFmtId="0" xfId="0" applyAlignment="1" applyBorder="1" applyFill="1" applyFont="1">
      <alignment horizontal="center" vertical="bottom"/>
    </xf>
    <xf borderId="1" fillId="27" fontId="7" numFmtId="0" xfId="0" applyAlignment="1" applyBorder="1" applyFill="1" applyFont="1">
      <alignment horizontal="center" vertical="bottom"/>
    </xf>
    <xf borderId="1" fillId="28" fontId="7" numFmtId="0" xfId="0" applyAlignment="1" applyBorder="1" applyFill="1" applyFont="1">
      <alignment horizontal="center" vertical="bottom"/>
    </xf>
    <xf borderId="1" fillId="29" fontId="7" numFmtId="0" xfId="0" applyAlignment="1" applyBorder="1" applyFill="1" applyFont="1">
      <alignment horizontal="center" vertical="bottom"/>
    </xf>
    <xf borderId="1" fillId="30" fontId="7" numFmtId="0" xfId="0" applyAlignment="1" applyBorder="1" applyFill="1" applyFont="1">
      <alignment horizontal="center" vertical="bottom"/>
    </xf>
    <xf borderId="1" fillId="31" fontId="7" numFmtId="0" xfId="0" applyAlignment="1" applyBorder="1" applyFill="1" applyFont="1">
      <alignment horizontal="center" vertical="bottom"/>
    </xf>
    <xf borderId="1" fillId="32" fontId="7" numFmtId="0" xfId="0" applyAlignment="1" applyBorder="1" applyFill="1" applyFont="1">
      <alignment horizontal="center" vertical="bottom"/>
    </xf>
    <xf borderId="1" fillId="33" fontId="7" numFmtId="0" xfId="0" applyAlignment="1" applyBorder="1" applyFill="1" applyFont="1">
      <alignment horizontal="center" vertical="bottom"/>
    </xf>
    <xf borderId="1" fillId="10" fontId="15" numFmtId="0" xfId="0" applyAlignment="1" applyBorder="1" applyFont="1">
      <alignment horizontal="center" vertical="bottom"/>
    </xf>
    <xf borderId="1" fillId="0" fontId="7" numFmtId="0" xfId="0" applyAlignment="1" applyBorder="1" applyFont="1">
      <alignment horizontal="right" vertical="bottom"/>
    </xf>
    <xf borderId="1" fillId="0" fontId="7" numFmtId="0" xfId="0" applyAlignment="1" applyBorder="1" applyFont="1">
      <alignment horizontal="right" vertical="bottom"/>
    </xf>
    <xf borderId="1" fillId="0" fontId="7" numFmtId="9" xfId="0" applyAlignment="1" applyBorder="1" applyFont="1" applyNumberFormat="1">
      <alignment horizontal="right" vertical="bottom"/>
    </xf>
    <xf borderId="1" fillId="0" fontId="7" numFmtId="0" xfId="0" applyAlignment="1" applyBorder="1" applyFont="1">
      <alignment horizontal="right" readingOrder="0" vertical="bottom"/>
    </xf>
    <xf borderId="0" fillId="0" fontId="13" numFmtId="0" xfId="0" applyAlignment="1" applyFont="1">
      <alignment readingOrder="0"/>
    </xf>
    <xf borderId="0" fillId="0" fontId="13" numFmtId="0" xfId="0" applyAlignment="1" applyFont="1">
      <alignment readingOrder="0"/>
    </xf>
    <xf borderId="0" fillId="0" fontId="13" numFmtId="0" xfId="0" applyAlignment="1" applyFont="1">
      <alignment readingOrder="0"/>
    </xf>
    <xf borderId="0" fillId="0" fontId="7" numFmtId="0" xfId="0" applyAlignment="1" applyFont="1">
      <alignment readingOrder="0"/>
    </xf>
    <xf borderId="0" fillId="0" fontId="7" numFmtId="0" xfId="0" applyAlignment="1" applyFont="1">
      <alignment horizontal="center" readingOrder="0"/>
    </xf>
    <xf borderId="0" fillId="0" fontId="13"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7" numFmtId="0" xfId="0" applyAlignment="1" applyFont="1">
      <alignment horizontal="center" readingOrder="0" shrinkToFit="0" vertical="center" wrapText="0"/>
    </xf>
    <xf borderId="0" fillId="0" fontId="13" numFmtId="0" xfId="0" applyAlignment="1" applyFont="1">
      <alignment shrinkToFit="0" vertical="center" wrapText="0"/>
    </xf>
    <xf borderId="0" fillId="0" fontId="13" numFmtId="0" xfId="0" applyAlignment="1" applyFont="1">
      <alignment readingOrder="0" shrinkToFit="0" vertical="center" wrapText="0"/>
    </xf>
    <xf borderId="0" fillId="0" fontId="13" numFmtId="9" xfId="0" applyAlignment="1" applyFont="1" applyNumberFormat="1">
      <alignment readingOrder="0" shrinkToFit="0" vertical="center" wrapText="0"/>
    </xf>
    <xf borderId="0" fillId="0" fontId="7" numFmtId="0" xfId="0" applyAlignment="1" applyFont="1">
      <alignment readingOrder="0" shrinkToFit="0" vertical="center" wrapText="0"/>
    </xf>
    <xf borderId="0" fillId="2" fontId="7" numFmtId="0" xfId="0" applyAlignment="1" applyFont="1">
      <alignment vertical="bottom"/>
    </xf>
    <xf borderId="15" fillId="0" fontId="2" numFmtId="0" xfId="0" applyAlignment="1" applyBorder="1" applyFont="1">
      <alignment vertical="bottom"/>
    </xf>
    <xf borderId="16" fillId="2" fontId="7" numFmtId="0" xfId="0" applyAlignment="1" applyBorder="1" applyFont="1">
      <alignment horizontal="center" vertical="bottom"/>
    </xf>
    <xf borderId="16" fillId="34" fontId="7" numFmtId="0" xfId="0" applyAlignment="1" applyBorder="1" applyFill="1" applyFont="1">
      <alignment horizontal="center" vertical="bottom"/>
    </xf>
    <xf borderId="16" fillId="0" fontId="2" numFmtId="0" xfId="0" applyAlignment="1" applyBorder="1" applyFont="1">
      <alignment vertical="bottom"/>
    </xf>
    <xf borderId="0" fillId="2" fontId="7" numFmtId="0" xfId="0" applyAlignment="1" applyFont="1">
      <alignment horizontal="center" vertical="bottom"/>
    </xf>
    <xf borderId="16" fillId="0" fontId="8" numFmtId="0" xfId="0" applyBorder="1" applyFont="1"/>
    <xf borderId="0" fillId="35" fontId="7" numFmtId="0" xfId="0" applyAlignment="1" applyFill="1" applyFont="1">
      <alignment horizontal="center" vertical="bottom"/>
    </xf>
    <xf borderId="0" fillId="36" fontId="7" numFmtId="0" xfId="0" applyAlignment="1" applyFill="1" applyFont="1">
      <alignment horizontal="center" vertical="bottom"/>
    </xf>
    <xf borderId="0" fillId="37" fontId="7" numFmtId="0" xfId="0" applyAlignment="1" applyFill="1" applyFont="1">
      <alignment horizontal="center" vertical="bottom"/>
    </xf>
    <xf borderId="0" fillId="38" fontId="7" numFmtId="0" xfId="0" applyAlignment="1" applyFill="1" applyFont="1">
      <alignment horizontal="center" vertical="bottom"/>
    </xf>
    <xf borderId="0" fillId="39" fontId="7" numFmtId="0" xfId="0" applyAlignment="1" applyFill="1" applyFont="1">
      <alignment horizontal="center" vertical="bottom"/>
    </xf>
    <xf borderId="0" fillId="40" fontId="7" numFmtId="0" xfId="0" applyAlignment="1" applyFill="1" applyFont="1">
      <alignment horizontal="center" vertical="bottom"/>
    </xf>
    <xf borderId="0" fillId="30" fontId="7" numFmtId="0" xfId="0" applyAlignment="1" applyFont="1">
      <alignment horizontal="center" vertical="bottom"/>
    </xf>
    <xf borderId="0" fillId="41" fontId="7" numFmtId="0" xfId="0" applyAlignment="1" applyFill="1" applyFont="1">
      <alignment horizontal="center" vertical="bottom"/>
    </xf>
    <xf borderId="0" fillId="42" fontId="7" numFmtId="0" xfId="0" applyAlignment="1" applyFill="1" applyFont="1">
      <alignment horizontal="center" vertical="bottom"/>
    </xf>
    <xf borderId="0" fillId="43" fontId="7" numFmtId="0" xfId="0" applyAlignment="1" applyFill="1" applyFont="1">
      <alignment horizontal="center" vertical="bottom"/>
    </xf>
    <xf borderId="0" fillId="10" fontId="15" numFmtId="0" xfId="0" applyAlignment="1" applyFont="1">
      <alignment horizontal="center" vertical="bottom"/>
    </xf>
    <xf borderId="16" fillId="0" fontId="7" numFmtId="0" xfId="0" applyAlignment="1" applyBorder="1" applyFont="1">
      <alignment horizontal="center" vertical="bottom"/>
    </xf>
    <xf borderId="0" fillId="0" fontId="7" numFmtId="0" xfId="0" applyAlignment="1" applyFont="1">
      <alignment horizontal="center" vertical="bottom"/>
    </xf>
    <xf borderId="0" fillId="0" fontId="7" numFmtId="0" xfId="0" applyAlignment="1" applyFont="1">
      <alignment vertical="bottom"/>
    </xf>
    <xf borderId="16" fillId="0" fontId="7" numFmtId="0" xfId="0" applyAlignment="1" applyBorder="1" applyFont="1">
      <alignment horizontal="center" vertical="bottom"/>
    </xf>
    <xf borderId="0" fillId="0" fontId="7" numFmtId="0" xfId="0" applyAlignment="1" applyFont="1">
      <alignment horizontal="center" vertical="bottom"/>
    </xf>
    <xf borderId="16" fillId="0" fontId="7" numFmtId="0" xfId="0" applyAlignment="1" applyBorder="1" applyFont="1">
      <alignment horizontal="center" readingOrder="0" vertical="bottom"/>
    </xf>
    <xf borderId="0" fillId="3" fontId="7" numFmtId="0" xfId="0" applyAlignment="1" applyFont="1">
      <alignment readingOrder="0" vertical="bottom"/>
    </xf>
    <xf borderId="15" fillId="0" fontId="7" numFmtId="0" xfId="0" applyAlignment="1" applyBorder="1" applyFont="1">
      <alignment vertical="bottom"/>
    </xf>
    <xf borderId="16" fillId="44" fontId="7" numFmtId="0" xfId="0" applyAlignment="1" applyBorder="1" applyFill="1" applyFont="1">
      <alignment horizontal="center" vertical="bottom"/>
    </xf>
    <xf borderId="16" fillId="0" fontId="7" numFmtId="0" xfId="0" applyAlignment="1" applyBorder="1" applyFont="1">
      <alignment vertical="bottom"/>
    </xf>
    <xf borderId="0" fillId="4" fontId="7" numFmtId="0" xfId="0" applyAlignment="1" applyFont="1">
      <alignment horizontal="center" vertical="bottom"/>
    </xf>
    <xf borderId="16" fillId="4" fontId="7" numFmtId="0" xfId="0" applyAlignment="1" applyBorder="1" applyFont="1">
      <alignment horizontal="center" vertical="bottom"/>
    </xf>
    <xf borderId="16" fillId="4" fontId="7" numFmtId="0" xfId="0" applyAlignment="1" applyBorder="1" applyFont="1">
      <alignment horizontal="center" readingOrder="0" vertical="bottom"/>
    </xf>
    <xf borderId="0" fillId="45" fontId="7" numFmtId="0" xfId="0" applyAlignment="1" applyFill="1" applyFont="1">
      <alignment horizontal="center" vertical="bottom"/>
    </xf>
    <xf borderId="16" fillId="45" fontId="7" numFmtId="0" xfId="0" applyAlignment="1" applyBorder="1" applyFont="1">
      <alignment horizontal="center" vertical="bottom"/>
    </xf>
    <xf borderId="0" fillId="46" fontId="7" numFmtId="0" xfId="0" applyAlignment="1" applyFill="1" applyFont="1">
      <alignment horizontal="center" vertical="bottom"/>
    </xf>
    <xf borderId="16" fillId="46" fontId="7" numFmtId="0" xfId="0" applyAlignment="1" applyBorder="1" applyFont="1">
      <alignment horizontal="center" vertical="bottom"/>
    </xf>
    <xf borderId="0" fillId="47" fontId="7" numFmtId="0" xfId="0" applyAlignment="1" applyFill="1" applyFont="1">
      <alignment horizontal="center" vertical="bottom"/>
    </xf>
    <xf borderId="16" fillId="47" fontId="7" numFmtId="0" xfId="0" applyAlignment="1" applyBorder="1" applyFont="1">
      <alignment horizontal="center" vertical="bottom"/>
    </xf>
    <xf borderId="0" fillId="48" fontId="7" numFmtId="0" xfId="0" applyAlignment="1" applyFill="1" applyFont="1">
      <alignment horizontal="center" vertical="bottom"/>
    </xf>
    <xf borderId="16" fillId="48" fontId="7" numFmtId="0" xfId="0" applyAlignment="1" applyBorder="1" applyFont="1">
      <alignment horizontal="center" vertical="bottom"/>
    </xf>
    <xf borderId="0" fillId="49" fontId="7" numFmtId="0" xfId="0" applyAlignment="1" applyFill="1" applyFont="1">
      <alignment horizontal="center" vertical="bottom"/>
    </xf>
    <xf borderId="0" fillId="50" fontId="7" numFmtId="0" xfId="0" applyAlignment="1" applyFill="1" applyFont="1">
      <alignment horizontal="center" vertical="bottom"/>
    </xf>
    <xf borderId="0" fillId="51" fontId="7" numFmtId="0" xfId="0" applyAlignment="1" applyFill="1" applyFont="1">
      <alignment horizontal="center" vertical="bottom"/>
    </xf>
    <xf borderId="0" fillId="52" fontId="7" numFmtId="0" xfId="0" applyAlignment="1" applyFill="1" applyFont="1">
      <alignment horizontal="center" vertical="bottom"/>
    </xf>
    <xf borderId="0" fillId="53" fontId="7" numFmtId="0" xfId="0" applyAlignment="1" applyFill="1" applyFont="1">
      <alignment horizontal="center" vertical="bottom"/>
    </xf>
    <xf borderId="0" fillId="54" fontId="7" numFmtId="0" xfId="0" applyAlignment="1" applyFill="1" applyFont="1">
      <alignment horizontal="center" vertical="bottom"/>
    </xf>
    <xf borderId="0" fillId="55" fontId="7" numFmtId="0" xfId="0" applyAlignment="1" applyFill="1" applyFont="1">
      <alignment horizontal="center" vertical="bottom"/>
    </xf>
    <xf borderId="16" fillId="3" fontId="7" numFmtId="0" xfId="0" applyAlignment="1" applyBorder="1" applyFont="1">
      <alignment horizontal="center" vertical="bottom"/>
    </xf>
    <xf borderId="0" fillId="2" fontId="7" numFmtId="0" xfId="0" applyAlignment="1" applyFont="1">
      <alignment horizontal="center" readingOrder="0" vertical="bottom"/>
    </xf>
    <xf borderId="0" fillId="35" fontId="7" numFmtId="0" xfId="0" applyAlignment="1" applyFont="1">
      <alignment horizontal="center" readingOrder="0" vertical="bottom"/>
    </xf>
    <xf borderId="0" fillId="36" fontId="7" numFmtId="0" xfId="0" applyAlignment="1" applyFont="1">
      <alignment horizontal="center" readingOrder="0" vertical="bottom"/>
    </xf>
    <xf borderId="0" fillId="37" fontId="7" numFmtId="0" xfId="0" applyAlignment="1" applyFont="1">
      <alignment horizontal="center" readingOrder="0" vertical="bottom"/>
    </xf>
    <xf borderId="0" fillId="38" fontId="7" numFmtId="0" xfId="0" applyAlignment="1" applyFont="1">
      <alignment horizontal="center" readingOrder="0" vertical="bottom"/>
    </xf>
    <xf borderId="0" fillId="0" fontId="7" numFmtId="0" xfId="0" applyAlignment="1" applyFont="1">
      <alignment readingOrder="0" vertical="bottom"/>
    </xf>
    <xf borderId="0" fillId="0" fontId="7" numFmtId="1" xfId="0" applyAlignment="1" applyFont="1" applyNumberFormat="1">
      <alignment horizontal="center" vertical="bottom"/>
    </xf>
    <xf borderId="0" fillId="0" fontId="7" numFmtId="1" xfId="0" applyAlignment="1" applyFont="1" applyNumberFormat="1">
      <alignment horizontal="center" readingOrder="0" vertical="bottom"/>
    </xf>
    <xf borderId="0" fillId="0" fontId="2" numFmtId="0" xfId="0" applyAlignment="1" applyFont="1">
      <alignment vertical="bottom"/>
    </xf>
    <xf borderId="0" fillId="3" fontId="2" numFmtId="0" xfId="0" applyAlignment="1" applyFont="1">
      <alignment vertical="bottom"/>
    </xf>
    <xf borderId="16" fillId="2" fontId="2" numFmtId="0" xfId="0" applyAlignment="1" applyBorder="1" applyFont="1">
      <alignment vertical="bottom"/>
    </xf>
    <xf borderId="16" fillId="44" fontId="2" numFmtId="0" xfId="0" applyAlignment="1" applyBorder="1" applyFont="1">
      <alignment vertical="bottom"/>
    </xf>
    <xf borderId="0" fillId="4" fontId="2" numFmtId="0" xfId="0" applyAlignment="1" applyFont="1">
      <alignment vertical="bottom"/>
    </xf>
    <xf borderId="16" fillId="4" fontId="2" numFmtId="0" xfId="0" applyAlignment="1" applyBorder="1" applyFont="1">
      <alignment vertical="bottom"/>
    </xf>
    <xf borderId="0" fillId="45" fontId="2" numFmtId="0" xfId="0" applyAlignment="1" applyFont="1">
      <alignment vertical="bottom"/>
    </xf>
    <xf borderId="16" fillId="45" fontId="2" numFmtId="0" xfId="0" applyAlignment="1" applyBorder="1" applyFont="1">
      <alignment vertical="bottom"/>
    </xf>
    <xf borderId="0" fillId="46" fontId="2" numFmtId="0" xfId="0" applyAlignment="1" applyFont="1">
      <alignment vertical="bottom"/>
    </xf>
    <xf borderId="16" fillId="46" fontId="2" numFmtId="0" xfId="0" applyAlignment="1" applyBorder="1" applyFont="1">
      <alignment vertical="bottom"/>
    </xf>
    <xf borderId="0" fillId="47" fontId="2" numFmtId="0" xfId="0" applyAlignment="1" applyFont="1">
      <alignment vertical="bottom"/>
    </xf>
    <xf borderId="16" fillId="47" fontId="2" numFmtId="0" xfId="0" applyAlignment="1" applyBorder="1" applyFont="1">
      <alignment vertical="bottom"/>
    </xf>
    <xf borderId="0" fillId="48" fontId="2" numFmtId="0" xfId="0" applyAlignment="1" applyFont="1">
      <alignment vertical="bottom"/>
    </xf>
    <xf borderId="16" fillId="48" fontId="2" numFmtId="0" xfId="0" applyAlignment="1" applyBorder="1" applyFont="1">
      <alignment vertical="bottom"/>
    </xf>
    <xf borderId="0" fillId="49" fontId="2" numFmtId="0" xfId="0" applyAlignment="1" applyFont="1">
      <alignment vertical="bottom"/>
    </xf>
    <xf borderId="0" fillId="50" fontId="2" numFmtId="0" xfId="0" applyAlignment="1" applyFont="1">
      <alignment vertical="bottom"/>
    </xf>
    <xf borderId="0" fillId="51" fontId="2" numFmtId="0" xfId="0" applyAlignment="1" applyFont="1">
      <alignment vertical="bottom"/>
    </xf>
    <xf borderId="0" fillId="52" fontId="2" numFmtId="0" xfId="0" applyAlignment="1" applyFont="1">
      <alignment vertical="bottom"/>
    </xf>
    <xf borderId="0" fillId="53" fontId="2" numFmtId="0" xfId="0" applyAlignment="1" applyFont="1">
      <alignment vertical="bottom"/>
    </xf>
    <xf borderId="0" fillId="54" fontId="2" numFmtId="0" xfId="0" applyAlignment="1" applyFont="1">
      <alignment vertical="bottom"/>
    </xf>
    <xf borderId="0" fillId="55" fontId="2" numFmtId="0" xfId="0" applyAlignment="1" applyFont="1">
      <alignment vertical="bottom"/>
    </xf>
    <xf borderId="16" fillId="3" fontId="2" numFmtId="0" xfId="0" applyAlignment="1" applyBorder="1" applyFont="1">
      <alignment vertical="bottom"/>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3" pivot="0" name="Level Up Cost-style">
      <tableStyleElement dxfId="1" type="headerRow"/>
      <tableStyleElement dxfId="2" type="firstRowStripe"/>
      <tableStyleElement dxfId="3" type="secondRowStripe"/>
    </tableStyle>
    <tableStyle count="4" pivot="0" name="Character Stats Table (Outdated-style">
      <tableStyleElement dxfId="4"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6" displayName="Table_1" name="Table_1" id="1">
  <tableColumns count="4">
    <tableColumn name="Level" id="1"/>
    <tableColumn name="Runes to Next" id="2"/>
    <tableColumn name="Cost Increase" id="3"/>
    <tableColumn name="Total Runes" id="4"/>
  </tableColumns>
  <tableStyleInfo name="Level Up Cost-style" showColumnStripes="0" showFirstColumn="1" showLastColumn="1" showRowStripes="1"/>
</table>
</file>

<file path=xl/tables/table2.xml><?xml version="1.0" encoding="utf-8"?>
<table xmlns="http://schemas.openxmlformats.org/spreadsheetml/2006/main" ref="A2:Z122" displayName="Table1" name="Table1" id="2">
  <tableColumns count="26">
    <tableColumn name="Name" id="1"/>
    <tableColumn name="Level" id="2"/>
    <tableColumn name="Vigor" id="3"/>
    <tableColumn name="Mind" id="4"/>
    <tableColumn name="Endurance" id="5"/>
    <tableColumn name="Strength" id="6"/>
    <tableColumn name="Dexterity" id="7"/>
    <tableColumn name="Intelligence" id="8"/>
    <tableColumn name="Faith" id="9"/>
    <tableColumn name="Arcane" id="10"/>
    <tableColumn name="Phys Neg" id="11"/>
    <tableColumn name="Slash Neg" id="12"/>
    <tableColumn name="Strike Neg" id="13"/>
    <tableColumn name="Thrust Neg" id="14"/>
    <tableColumn name="Magic Neg" id="15"/>
    <tableColumn name="Fire Neg" id="16"/>
    <tableColumn name="Ltng Neg" id="17"/>
    <tableColumn name="Holy Neg" id="18"/>
    <tableColumn name="Poison Resist" id="19"/>
    <tableColumn name="Rot Resist" id="20"/>
    <tableColumn name="Bleed Resist" id="21"/>
    <tableColumn name="Frost Resist" id="22"/>
    <tableColumn name="Sleep Resist" id="23"/>
    <tableColumn name="Madness Resist" id="24"/>
    <tableColumn name="Blight Resist" id="25"/>
    <tableColumn name="Poise" id="26"/>
  </tableColumns>
  <tableStyleInfo name="Character Stats Table (Outdat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Y7HLeVzSUPGfyZcDoGc4FJ5kli1Oq6Tlk0qiZS1AXdE/edit?gid=1902010709#gid=1902010709https://docs.google.com/spreadsheets/d/1Y7HLeVzSUPGfyZcDoGc4FJ5kli1Oq6Tlk0qiZS1AXdE/edit?gid=1902010709#gid=1902010709" TargetMode="External"/><Relationship Id="rId2" Type="http://schemas.openxmlformats.org/officeDocument/2006/relationships/hyperlink" Target="https://docs.google.com/spreadsheets/d/12v53dUqYWOkCO5UVjaKI-mOoTCzivqITJTdSvFR-c8U/edit?gid=202812675" TargetMode="External"/><Relationship Id="rId3" Type="http://schemas.openxmlformats.org/officeDocument/2006/relationships/hyperlink" Target="https://docs.google.com/spreadsheets/u/0/d/1k4Az-3tOT_Y0Oox1BHXeolc2yzXDzb-gnlvCnTfWWSo/edit" TargetMode="External"/><Relationship Id="rId4" Type="http://schemas.openxmlformats.org/officeDocument/2006/relationships/hyperlink" Target="https://docs.google.com/spreadsheets/d/1Os2EzEiqE29HKsiv6UjBEQQOZrxj9ssvPAKMDc8CYr8/edit?gid=355878972#gid=355878972https://docs.google.com/spreadsheets/d/1Os2EzEiqE29HKsiv6UjBEQQOZrxj9ssvPAKMDc8CYr8/edit?gid=355878972#gid=355878972" TargetMode="External"/><Relationship Id="rId5" Type="http://schemas.openxmlformats.org/officeDocument/2006/relationships/hyperlink" Target="https://docs.google.com/spreadsheets/d/1-WsRD_nt8gvDVsdyFlE_YeubwFVF2l4M_GY3yZeBZ_M/edit?usp=sharing" TargetMode="External"/><Relationship Id="rId6" Type="http://schemas.openxmlformats.org/officeDocument/2006/relationships/hyperlink" Target="https://docs.google.com/spreadsheets/d/1Yu1QWcDTBSIwx3NA9SuyrxqY7pCeE9jzzb9wcRInVJg/edit?gid=430001960"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GEp0sOkCPgLRru2FTZs3FuJC0gA5bMjhYJ8DyNcBoOY/edit?gid=1783684271" TargetMode="External"/><Relationship Id="rId2" Type="http://schemas.openxmlformats.org/officeDocument/2006/relationships/hyperlink" Target="https://docs.google.com/spreadsheets/d/1c3khCdyQFr92aaO2-6_2KTsHomTKDN14aUpNVnL1lYE/edit?usp=sharing"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row>
    <row r="2">
      <c r="A2" s="3" t="s">
        <v>1</v>
      </c>
      <c r="B2" s="2"/>
      <c r="C2" s="2"/>
      <c r="D2" s="2"/>
      <c r="E2" s="2"/>
      <c r="F2" s="2"/>
      <c r="G2" s="2"/>
      <c r="H2" s="2"/>
    </row>
    <row r="3">
      <c r="A3" s="3" t="s">
        <v>2</v>
      </c>
      <c r="B3" s="2"/>
      <c r="C3" s="2"/>
      <c r="D3" s="2"/>
      <c r="E3" s="2"/>
      <c r="F3" s="2"/>
      <c r="G3" s="2"/>
      <c r="H3" s="2"/>
    </row>
    <row r="4">
      <c r="A4" s="3" t="s">
        <v>3</v>
      </c>
      <c r="B4" s="2"/>
      <c r="C4" s="2"/>
      <c r="D4" s="2"/>
      <c r="E4" s="2"/>
      <c r="F4" s="2"/>
      <c r="G4" s="2"/>
      <c r="H4" s="2"/>
    </row>
    <row r="5">
      <c r="A5" s="3" t="s">
        <v>4</v>
      </c>
      <c r="B5" s="2"/>
      <c r="C5" s="2"/>
      <c r="D5" s="2"/>
      <c r="E5" s="2"/>
      <c r="F5" s="2"/>
      <c r="G5" s="2"/>
      <c r="H5" s="2"/>
    </row>
    <row r="6">
      <c r="A6" s="4" t="s">
        <v>5</v>
      </c>
      <c r="B6" s="2"/>
      <c r="C6" s="2"/>
      <c r="D6" s="2"/>
      <c r="E6" s="2"/>
      <c r="F6" s="2"/>
      <c r="G6" s="2"/>
      <c r="H6" s="2"/>
    </row>
    <row r="7">
      <c r="A7" s="2"/>
      <c r="B7" s="2"/>
      <c r="C7" s="2"/>
      <c r="D7" s="2"/>
      <c r="E7" s="2"/>
      <c r="F7" s="2"/>
      <c r="G7" s="2"/>
      <c r="H7" s="2"/>
    </row>
    <row r="8">
      <c r="A8" s="1" t="s">
        <v>6</v>
      </c>
      <c r="B8" s="2"/>
      <c r="C8" s="2"/>
      <c r="D8" s="2"/>
      <c r="E8" s="2"/>
      <c r="F8" s="2"/>
      <c r="G8" s="2"/>
      <c r="H8" s="2"/>
    </row>
    <row r="9">
      <c r="A9" s="5" t="s">
        <v>7</v>
      </c>
      <c r="B9" s="2"/>
      <c r="C9" s="2"/>
      <c r="D9" s="2"/>
      <c r="E9" s="2"/>
      <c r="F9" s="2"/>
      <c r="G9" s="2"/>
      <c r="H9" s="2"/>
    </row>
    <row r="10">
      <c r="A10" s="5" t="s">
        <v>8</v>
      </c>
      <c r="B10" s="2"/>
      <c r="C10" s="2"/>
      <c r="D10" s="2"/>
      <c r="E10" s="2"/>
      <c r="F10" s="2"/>
      <c r="G10" s="2"/>
      <c r="H10" s="2"/>
    </row>
    <row r="11">
      <c r="A11" s="5" t="s">
        <v>9</v>
      </c>
      <c r="B11" s="2"/>
      <c r="C11" s="2"/>
      <c r="D11" s="2"/>
      <c r="E11" s="2"/>
      <c r="F11" s="2"/>
      <c r="G11" s="2"/>
      <c r="H11" s="2"/>
    </row>
    <row r="12">
      <c r="A12" s="5" t="s">
        <v>10</v>
      </c>
      <c r="B12" s="2"/>
      <c r="C12" s="2"/>
      <c r="D12" s="2"/>
      <c r="E12" s="2"/>
      <c r="F12" s="2"/>
      <c r="G12" s="2"/>
      <c r="H12" s="2"/>
    </row>
    <row r="13">
      <c r="A13" s="5" t="s">
        <v>11</v>
      </c>
      <c r="B13" s="2"/>
      <c r="C13" s="2"/>
      <c r="D13" s="2"/>
      <c r="E13" s="2"/>
      <c r="F13" s="2"/>
      <c r="G13" s="2"/>
      <c r="H13" s="2"/>
    </row>
    <row r="14">
      <c r="A14" s="6" t="s">
        <v>12</v>
      </c>
      <c r="B14" s="2"/>
      <c r="C14" s="2"/>
      <c r="D14" s="2"/>
      <c r="E14" s="2"/>
      <c r="F14" s="2"/>
      <c r="G14" s="2"/>
      <c r="H14" s="2"/>
    </row>
    <row r="15">
      <c r="A15" s="2"/>
      <c r="B15" s="2"/>
      <c r="C15" s="2"/>
      <c r="D15" s="2"/>
      <c r="E15" s="2"/>
      <c r="F15" s="2"/>
      <c r="G15" s="2"/>
      <c r="H15" s="2"/>
    </row>
  </sheetData>
  <hyperlinks>
    <hyperlink r:id="rId1" ref="A9"/>
    <hyperlink r:id="rId2" location="gid=202812675" ref="A10"/>
    <hyperlink r:id="rId3" ref="A11"/>
    <hyperlink r:id="rId4" ref="A12"/>
    <hyperlink r:id="rId5" ref="A13"/>
    <hyperlink r:id="rId6" location="gid=430001960" ref="A14"/>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1.38"/>
    <col customWidth="1" min="3" max="3" width="10.88"/>
    <col customWidth="1" min="4" max="4" width="9.5"/>
  </cols>
  <sheetData>
    <row r="1">
      <c r="A1" s="7" t="s">
        <v>13</v>
      </c>
      <c r="B1" s="7" t="s">
        <v>14</v>
      </c>
      <c r="C1" s="7" t="s">
        <v>15</v>
      </c>
      <c r="D1" s="7" t="s">
        <v>16</v>
      </c>
    </row>
    <row r="2">
      <c r="A2" s="8">
        <v>1.0</v>
      </c>
      <c r="B2" s="9">
        <v>3698.0</v>
      </c>
      <c r="C2" s="8">
        <f t="shared" ref="C2:C16" si="1">IFERROR(IF(OR(ISBLANK(B1),ISBLANK(B2)),0,B2-B1),0)</f>
        <v>0</v>
      </c>
      <c r="D2" s="8">
        <v>0.0</v>
      </c>
    </row>
    <row r="3">
      <c r="A3" s="10">
        <f t="shared" ref="A3:A16" si="2">A2+1</f>
        <v>2</v>
      </c>
      <c r="B3" s="11">
        <v>7922.0</v>
      </c>
      <c r="C3" s="10">
        <f t="shared" si="1"/>
        <v>4224</v>
      </c>
      <c r="D3" s="10">
        <f t="shared" ref="D3:D16" si="3">IFERROR(SUM(B$2:B2),0)</f>
        <v>3698</v>
      </c>
    </row>
    <row r="4">
      <c r="A4" s="8">
        <f t="shared" si="2"/>
        <v>3</v>
      </c>
      <c r="B4" s="9">
        <v>12348.0</v>
      </c>
      <c r="C4" s="8">
        <f t="shared" si="1"/>
        <v>4426</v>
      </c>
      <c r="D4" s="8">
        <f t="shared" si="3"/>
        <v>11620</v>
      </c>
    </row>
    <row r="5">
      <c r="A5" s="10">
        <f t="shared" si="2"/>
        <v>4</v>
      </c>
      <c r="B5" s="11">
        <v>16978.0</v>
      </c>
      <c r="C5" s="10">
        <f t="shared" si="1"/>
        <v>4630</v>
      </c>
      <c r="D5" s="10">
        <f t="shared" si="3"/>
        <v>23968</v>
      </c>
    </row>
    <row r="6">
      <c r="A6" s="8">
        <f t="shared" si="2"/>
        <v>5</v>
      </c>
      <c r="B6" s="9">
        <v>21818.0</v>
      </c>
      <c r="C6" s="8">
        <f t="shared" si="1"/>
        <v>4840</v>
      </c>
      <c r="D6" s="8">
        <f t="shared" si="3"/>
        <v>40946</v>
      </c>
    </row>
    <row r="7">
      <c r="A7" s="10">
        <f t="shared" si="2"/>
        <v>6</v>
      </c>
      <c r="B7" s="11">
        <v>26869.0</v>
      </c>
      <c r="C7" s="10">
        <f t="shared" si="1"/>
        <v>5051</v>
      </c>
      <c r="D7" s="10">
        <f t="shared" si="3"/>
        <v>62764</v>
      </c>
    </row>
    <row r="8">
      <c r="A8" s="8">
        <f t="shared" si="2"/>
        <v>7</v>
      </c>
      <c r="B8" s="9">
        <v>32137.0</v>
      </c>
      <c r="C8" s="8">
        <f t="shared" si="1"/>
        <v>5268</v>
      </c>
      <c r="D8" s="8">
        <f t="shared" si="3"/>
        <v>89633</v>
      </c>
    </row>
    <row r="9">
      <c r="A9" s="10">
        <f t="shared" si="2"/>
        <v>8</v>
      </c>
      <c r="B9" s="11">
        <v>37624.0</v>
      </c>
      <c r="C9" s="10">
        <f t="shared" si="1"/>
        <v>5487</v>
      </c>
      <c r="D9" s="10">
        <f t="shared" si="3"/>
        <v>121770</v>
      </c>
    </row>
    <row r="10">
      <c r="A10" s="8">
        <f t="shared" si="2"/>
        <v>9</v>
      </c>
      <c r="B10" s="9">
        <v>43335.0</v>
      </c>
      <c r="C10" s="8">
        <f t="shared" si="1"/>
        <v>5711</v>
      </c>
      <c r="D10" s="8">
        <f t="shared" si="3"/>
        <v>159394</v>
      </c>
    </row>
    <row r="11">
      <c r="A11" s="10">
        <f t="shared" si="2"/>
        <v>10</v>
      </c>
      <c r="B11" s="11">
        <v>49271.0</v>
      </c>
      <c r="C11" s="10">
        <f t="shared" si="1"/>
        <v>5936</v>
      </c>
      <c r="D11" s="10">
        <f t="shared" si="3"/>
        <v>202729</v>
      </c>
    </row>
    <row r="12">
      <c r="A12" s="8">
        <f t="shared" si="2"/>
        <v>11</v>
      </c>
      <c r="B12" s="9">
        <v>55439.0</v>
      </c>
      <c r="C12" s="8">
        <f t="shared" si="1"/>
        <v>6168</v>
      </c>
      <c r="D12" s="8">
        <f t="shared" si="3"/>
        <v>252000</v>
      </c>
    </row>
    <row r="13">
      <c r="A13" s="10">
        <f t="shared" si="2"/>
        <v>12</v>
      </c>
      <c r="B13" s="11">
        <v>61840.0</v>
      </c>
      <c r="C13" s="10">
        <f t="shared" si="1"/>
        <v>6401</v>
      </c>
      <c r="D13" s="10">
        <f t="shared" si="3"/>
        <v>307439</v>
      </c>
    </row>
    <row r="14">
      <c r="A14" s="8">
        <f t="shared" si="2"/>
        <v>13</v>
      </c>
      <c r="B14" s="9">
        <v>68479.0</v>
      </c>
      <c r="C14" s="8">
        <f t="shared" si="1"/>
        <v>6639</v>
      </c>
      <c r="D14" s="8">
        <f t="shared" si="3"/>
        <v>369279</v>
      </c>
    </row>
    <row r="15">
      <c r="A15" s="10">
        <f t="shared" si="2"/>
        <v>14</v>
      </c>
      <c r="B15" s="11">
        <v>75358.0</v>
      </c>
      <c r="C15" s="10">
        <f t="shared" si="1"/>
        <v>6879</v>
      </c>
      <c r="D15" s="10">
        <f t="shared" si="3"/>
        <v>437758</v>
      </c>
    </row>
    <row r="16">
      <c r="A16" s="8">
        <f t="shared" si="2"/>
        <v>15</v>
      </c>
      <c r="B16" s="9"/>
      <c r="C16" s="8">
        <f t="shared" si="1"/>
        <v>0</v>
      </c>
      <c r="D16" s="8">
        <f t="shared" si="3"/>
        <v>513116</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64.5"/>
    <col customWidth="1" min="3" max="3" width="74.38"/>
    <col customWidth="1" min="4" max="4" width="43.38"/>
  </cols>
  <sheetData>
    <row r="1">
      <c r="A1" s="12" t="s">
        <v>17</v>
      </c>
      <c r="B1" s="12" t="s">
        <v>18</v>
      </c>
      <c r="C1" s="13" t="s">
        <v>19</v>
      </c>
      <c r="D1" s="13" t="s">
        <v>20</v>
      </c>
    </row>
    <row r="2">
      <c r="A2" s="14" t="s">
        <v>21</v>
      </c>
      <c r="B2" s="14" t="s">
        <v>22</v>
      </c>
      <c r="C2" s="14" t="s">
        <v>23</v>
      </c>
      <c r="D2" s="15"/>
    </row>
    <row r="3">
      <c r="A3" s="14" t="s">
        <v>24</v>
      </c>
      <c r="B3" s="14" t="s">
        <v>25</v>
      </c>
      <c r="C3" s="16" t="s">
        <v>26</v>
      </c>
      <c r="D3" s="15"/>
    </row>
    <row r="4">
      <c r="A4" s="14" t="s">
        <v>27</v>
      </c>
      <c r="B4" s="14" t="s">
        <v>28</v>
      </c>
      <c r="C4" s="14" t="s">
        <v>29</v>
      </c>
      <c r="D4" s="15"/>
    </row>
    <row r="5">
      <c r="A5" s="14" t="s">
        <v>30</v>
      </c>
      <c r="B5" s="14" t="s">
        <v>31</v>
      </c>
      <c r="C5" s="14" t="s">
        <v>32</v>
      </c>
      <c r="D5" s="15"/>
    </row>
    <row r="6">
      <c r="A6" s="14" t="s">
        <v>33</v>
      </c>
      <c r="B6" s="14" t="s">
        <v>34</v>
      </c>
      <c r="C6" s="14" t="s">
        <v>35</v>
      </c>
      <c r="D6" s="15"/>
    </row>
    <row r="7">
      <c r="A7" s="14" t="s">
        <v>36</v>
      </c>
      <c r="B7" s="14" t="s">
        <v>37</v>
      </c>
      <c r="C7" s="16" t="s">
        <v>38</v>
      </c>
      <c r="D7" s="15"/>
    </row>
    <row r="8">
      <c r="A8" s="14" t="s">
        <v>39</v>
      </c>
      <c r="B8" s="14" t="s">
        <v>40</v>
      </c>
      <c r="C8" s="16" t="s">
        <v>41</v>
      </c>
      <c r="D8" s="15"/>
    </row>
    <row r="9">
      <c r="A9" s="14" t="s">
        <v>42</v>
      </c>
      <c r="B9" s="14" t="s">
        <v>43</v>
      </c>
      <c r="C9" s="14" t="s">
        <v>44</v>
      </c>
      <c r="D9" s="15"/>
    </row>
    <row r="10">
      <c r="A10" s="14" t="s">
        <v>45</v>
      </c>
      <c r="B10" s="14" t="s">
        <v>46</v>
      </c>
      <c r="C10" s="16" t="s">
        <v>47</v>
      </c>
      <c r="D10" s="15"/>
    </row>
    <row r="11">
      <c r="A11" s="14" t="s">
        <v>48</v>
      </c>
      <c r="B11" s="14" t="s">
        <v>49</v>
      </c>
      <c r="C11" s="16" t="s">
        <v>50</v>
      </c>
      <c r="D11" s="15"/>
    </row>
    <row r="12">
      <c r="A12" s="14" t="s">
        <v>51</v>
      </c>
      <c r="B12" s="14" t="s">
        <v>52</v>
      </c>
      <c r="C12" s="16" t="s">
        <v>53</v>
      </c>
      <c r="D12" s="15"/>
    </row>
    <row r="13">
      <c r="A13" s="14" t="s">
        <v>54</v>
      </c>
      <c r="B13" s="14" t="s">
        <v>55</v>
      </c>
      <c r="C13" s="16" t="s">
        <v>56</v>
      </c>
      <c r="D13" s="15"/>
    </row>
    <row r="14">
      <c r="A14" s="14" t="s">
        <v>57</v>
      </c>
      <c r="B14" s="14" t="s">
        <v>58</v>
      </c>
      <c r="C14" s="16" t="s">
        <v>59</v>
      </c>
      <c r="D14" s="15"/>
    </row>
    <row r="15">
      <c r="A15" s="14" t="s">
        <v>60</v>
      </c>
      <c r="B15" s="14" t="s">
        <v>61</v>
      </c>
      <c r="C15" s="16" t="s">
        <v>62</v>
      </c>
      <c r="D15" s="15"/>
    </row>
    <row r="16">
      <c r="A16" s="14" t="s">
        <v>63</v>
      </c>
      <c r="B16" s="14" t="s">
        <v>64</v>
      </c>
      <c r="C16" s="16" t="s">
        <v>65</v>
      </c>
      <c r="D16" s="15"/>
    </row>
    <row r="17">
      <c r="A17" s="14" t="s">
        <v>66</v>
      </c>
      <c r="B17" s="14" t="s">
        <v>67</v>
      </c>
      <c r="C17" s="16" t="s">
        <v>68</v>
      </c>
      <c r="D17" s="15"/>
    </row>
    <row r="18">
      <c r="A18" s="14" t="s">
        <v>69</v>
      </c>
      <c r="B18" s="14" t="s">
        <v>70</v>
      </c>
      <c r="C18" s="16" t="s">
        <v>71</v>
      </c>
      <c r="D18" s="15"/>
    </row>
    <row r="19">
      <c r="A19" s="14" t="s">
        <v>72</v>
      </c>
      <c r="B19" s="14" t="s">
        <v>73</v>
      </c>
      <c r="C19" s="17" t="s">
        <v>74</v>
      </c>
      <c r="D19" s="18" t="s">
        <v>75</v>
      </c>
    </row>
    <row r="20">
      <c r="A20" s="14" t="s">
        <v>76</v>
      </c>
      <c r="B20" s="14" t="s">
        <v>77</v>
      </c>
      <c r="C20" s="16" t="s">
        <v>78</v>
      </c>
      <c r="D20" s="15"/>
    </row>
    <row r="21">
      <c r="A21" s="14" t="s">
        <v>79</v>
      </c>
      <c r="B21" s="14" t="s">
        <v>80</v>
      </c>
      <c r="C21" s="16" t="s">
        <v>81</v>
      </c>
      <c r="D21" s="15"/>
    </row>
    <row r="22">
      <c r="A22" s="14" t="s">
        <v>82</v>
      </c>
      <c r="B22" s="14" t="s">
        <v>83</v>
      </c>
      <c r="C22" s="16" t="s">
        <v>84</v>
      </c>
      <c r="D22" s="15"/>
    </row>
    <row r="23">
      <c r="A23" s="14" t="s">
        <v>85</v>
      </c>
      <c r="B23" s="14" t="s">
        <v>86</v>
      </c>
      <c r="C23" s="16" t="s">
        <v>87</v>
      </c>
      <c r="D23" s="15"/>
    </row>
    <row r="24">
      <c r="A24" s="14" t="s">
        <v>88</v>
      </c>
      <c r="B24" s="14" t="s">
        <v>89</v>
      </c>
      <c r="C24" s="16" t="s">
        <v>90</v>
      </c>
      <c r="D24" s="15"/>
    </row>
    <row r="25">
      <c r="A25" s="14" t="s">
        <v>91</v>
      </c>
      <c r="B25" s="14" t="s">
        <v>92</v>
      </c>
      <c r="C25" s="16" t="s">
        <v>93</v>
      </c>
      <c r="D25" s="15"/>
    </row>
    <row r="26">
      <c r="A26" s="14" t="s">
        <v>94</v>
      </c>
      <c r="B26" s="14" t="s">
        <v>95</v>
      </c>
      <c r="C26" s="16" t="s">
        <v>96</v>
      </c>
      <c r="D26" s="15"/>
    </row>
    <row r="27">
      <c r="A27" s="14" t="s">
        <v>97</v>
      </c>
      <c r="B27" s="14" t="s">
        <v>98</v>
      </c>
      <c r="C27" s="16" t="s">
        <v>99</v>
      </c>
      <c r="D27" s="15"/>
    </row>
    <row r="28">
      <c r="A28" s="14" t="s">
        <v>100</v>
      </c>
      <c r="B28" s="14" t="s">
        <v>101</v>
      </c>
      <c r="C28" s="14" t="s">
        <v>102</v>
      </c>
      <c r="D28" s="15"/>
    </row>
    <row r="29">
      <c r="A29" s="14" t="s">
        <v>103</v>
      </c>
      <c r="B29" s="14" t="s">
        <v>104</v>
      </c>
      <c r="C29" s="16" t="s">
        <v>105</v>
      </c>
      <c r="D29" s="15"/>
    </row>
    <row r="30">
      <c r="A30" s="14" t="s">
        <v>106</v>
      </c>
      <c r="B30" s="14" t="s">
        <v>107</v>
      </c>
      <c r="C30" s="16" t="s">
        <v>108</v>
      </c>
      <c r="D30" s="15"/>
    </row>
    <row r="31">
      <c r="A31" s="14" t="s">
        <v>109</v>
      </c>
      <c r="B31" s="14" t="s">
        <v>110</v>
      </c>
      <c r="C31" s="14" t="s">
        <v>111</v>
      </c>
      <c r="D31" s="15"/>
    </row>
    <row r="32">
      <c r="A32" s="14" t="s">
        <v>112</v>
      </c>
      <c r="B32" s="14" t="s">
        <v>113</v>
      </c>
      <c r="C32" s="16" t="s">
        <v>114</v>
      </c>
      <c r="D32" s="15"/>
    </row>
    <row r="33">
      <c r="A33" s="14" t="s">
        <v>115</v>
      </c>
      <c r="B33" s="14" t="s">
        <v>116</v>
      </c>
      <c r="C33" s="16" t="s">
        <v>117</v>
      </c>
      <c r="D33" s="15"/>
    </row>
    <row r="34">
      <c r="A34" s="14" t="s">
        <v>118</v>
      </c>
      <c r="B34" s="14" t="s">
        <v>119</v>
      </c>
      <c r="C34" s="16" t="s">
        <v>120</v>
      </c>
      <c r="D34" s="14" t="s">
        <v>121</v>
      </c>
    </row>
    <row r="35">
      <c r="A35" s="14" t="s">
        <v>122</v>
      </c>
      <c r="B35" s="14" t="s">
        <v>123</v>
      </c>
      <c r="C35" s="16" t="s">
        <v>124</v>
      </c>
      <c r="D35" s="15"/>
    </row>
    <row r="36">
      <c r="A36" s="14" t="s">
        <v>125</v>
      </c>
      <c r="B36" s="14" t="s">
        <v>126</v>
      </c>
      <c r="C36" s="16" t="s">
        <v>127</v>
      </c>
      <c r="D36" s="15"/>
    </row>
    <row r="37">
      <c r="A37" s="14" t="s">
        <v>128</v>
      </c>
      <c r="B37" s="14" t="s">
        <v>129</v>
      </c>
      <c r="C37" s="16" t="s">
        <v>130</v>
      </c>
      <c r="D37" s="15"/>
    </row>
    <row r="38">
      <c r="A38" s="14" t="s">
        <v>131</v>
      </c>
      <c r="B38" s="14" t="s">
        <v>132</v>
      </c>
      <c r="C38" s="16" t="s">
        <v>133</v>
      </c>
      <c r="D38" s="15"/>
    </row>
    <row r="39">
      <c r="A39" s="14" t="s">
        <v>134</v>
      </c>
      <c r="B39" s="14" t="s">
        <v>135</v>
      </c>
      <c r="C39" s="16" t="s">
        <v>136</v>
      </c>
      <c r="D39" s="15"/>
    </row>
    <row r="40">
      <c r="A40" s="19" t="s">
        <v>137</v>
      </c>
      <c r="B40" s="14" t="s">
        <v>138</v>
      </c>
      <c r="C40" s="16" t="s">
        <v>139</v>
      </c>
      <c r="D40" s="14" t="s">
        <v>140</v>
      </c>
    </row>
    <row r="41">
      <c r="A41" s="14" t="s">
        <v>141</v>
      </c>
      <c r="B41" s="14" t="s">
        <v>142</v>
      </c>
      <c r="C41" s="16" t="s">
        <v>143</v>
      </c>
      <c r="D41" s="15"/>
    </row>
    <row r="42">
      <c r="A42" s="14" t="s">
        <v>144</v>
      </c>
      <c r="B42" s="14" t="s">
        <v>145</v>
      </c>
      <c r="C42" s="16" t="s">
        <v>146</v>
      </c>
      <c r="D42" s="15"/>
    </row>
    <row r="43">
      <c r="A43" s="14" t="s">
        <v>147</v>
      </c>
      <c r="B43" s="14" t="s">
        <v>148</v>
      </c>
      <c r="C43" s="16" t="s">
        <v>149</v>
      </c>
      <c r="D43" s="15"/>
    </row>
    <row r="44">
      <c r="A44" s="14" t="s">
        <v>150</v>
      </c>
      <c r="B44" s="14" t="s">
        <v>151</v>
      </c>
      <c r="C44" s="16" t="s">
        <v>152</v>
      </c>
      <c r="D44" s="15"/>
    </row>
    <row r="45">
      <c r="A45" s="14" t="s">
        <v>153</v>
      </c>
      <c r="B45" s="14" t="s">
        <v>154</v>
      </c>
      <c r="C45" s="19" t="s">
        <v>155</v>
      </c>
      <c r="D45" s="15"/>
    </row>
    <row r="46">
      <c r="A46" s="14" t="s">
        <v>156</v>
      </c>
      <c r="B46" s="14" t="s">
        <v>157</v>
      </c>
      <c r="C46" s="16" t="s">
        <v>158</v>
      </c>
      <c r="D46" s="15"/>
    </row>
    <row r="47">
      <c r="A47" s="14" t="s">
        <v>159</v>
      </c>
      <c r="B47" s="14" t="s">
        <v>160</v>
      </c>
      <c r="C47" s="16" t="s">
        <v>161</v>
      </c>
      <c r="D47" s="15"/>
    </row>
    <row r="48">
      <c r="A48" s="14" t="s">
        <v>162</v>
      </c>
      <c r="B48" s="14" t="s">
        <v>163</v>
      </c>
      <c r="C48" s="16" t="s">
        <v>164</v>
      </c>
      <c r="D48" s="15"/>
    </row>
    <row r="49">
      <c r="A49" s="14" t="s">
        <v>165</v>
      </c>
      <c r="B49" s="14" t="s">
        <v>166</v>
      </c>
      <c r="C49" s="16" t="s">
        <v>167</v>
      </c>
      <c r="D49" s="15"/>
    </row>
    <row r="50">
      <c r="A50" s="14" t="s">
        <v>168</v>
      </c>
      <c r="B50" s="14" t="s">
        <v>169</v>
      </c>
      <c r="C50" s="16" t="s">
        <v>170</v>
      </c>
      <c r="D50" s="15"/>
    </row>
    <row r="51">
      <c r="A51" s="14" t="s">
        <v>171</v>
      </c>
      <c r="B51" s="14" t="s">
        <v>172</v>
      </c>
      <c r="C51" s="16" t="s">
        <v>173</v>
      </c>
      <c r="D51" s="15"/>
    </row>
    <row r="52">
      <c r="A52" s="14" t="s">
        <v>174</v>
      </c>
      <c r="B52" s="14" t="s">
        <v>175</v>
      </c>
      <c r="C52" s="16" t="s">
        <v>176</v>
      </c>
      <c r="D52" s="15"/>
    </row>
    <row r="53">
      <c r="A53" s="19" t="s">
        <v>177</v>
      </c>
      <c r="B53" s="14" t="s">
        <v>178</v>
      </c>
      <c r="C53" s="16" t="s">
        <v>179</v>
      </c>
      <c r="D53" s="15"/>
    </row>
    <row r="54">
      <c r="A54" s="14" t="s">
        <v>180</v>
      </c>
      <c r="B54" s="14" t="s">
        <v>181</v>
      </c>
      <c r="C54" s="16" t="s">
        <v>182</v>
      </c>
      <c r="D54" s="15"/>
    </row>
    <row r="55">
      <c r="A55" s="14" t="s">
        <v>183</v>
      </c>
      <c r="B55" s="14" t="s">
        <v>184</v>
      </c>
      <c r="C55" s="16" t="s">
        <v>185</v>
      </c>
      <c r="D55" s="15"/>
    </row>
    <row r="56">
      <c r="A56" s="14" t="s">
        <v>186</v>
      </c>
      <c r="B56" s="14" t="s">
        <v>187</v>
      </c>
      <c r="C56" s="16" t="s">
        <v>188</v>
      </c>
      <c r="D56" s="15"/>
    </row>
    <row r="57">
      <c r="A57" s="14" t="s">
        <v>189</v>
      </c>
      <c r="B57" s="14" t="s">
        <v>190</v>
      </c>
      <c r="C57" s="16" t="s">
        <v>191</v>
      </c>
      <c r="D57" s="15"/>
    </row>
    <row r="58">
      <c r="A58" s="14" t="s">
        <v>192</v>
      </c>
      <c r="B58" s="14" t="s">
        <v>193</v>
      </c>
      <c r="C58" s="16" t="s">
        <v>194</v>
      </c>
      <c r="D58" s="15"/>
    </row>
    <row r="59">
      <c r="A59" s="14" t="s">
        <v>195</v>
      </c>
      <c r="B59" s="14" t="s">
        <v>196</v>
      </c>
      <c r="C59" s="14" t="s">
        <v>197</v>
      </c>
      <c r="D59" s="15"/>
    </row>
    <row r="60">
      <c r="A60" s="14" t="s">
        <v>198</v>
      </c>
      <c r="B60" s="14" t="s">
        <v>199</v>
      </c>
      <c r="C60" s="16" t="s">
        <v>200</v>
      </c>
      <c r="D60" s="15"/>
    </row>
    <row r="61">
      <c r="A61" s="14" t="s">
        <v>201</v>
      </c>
      <c r="B61" s="14" t="s">
        <v>202</v>
      </c>
      <c r="C61" s="16" t="s">
        <v>203</v>
      </c>
      <c r="D61" s="15"/>
    </row>
    <row r="62">
      <c r="A62" s="14" t="s">
        <v>204</v>
      </c>
      <c r="B62" s="14" t="s">
        <v>205</v>
      </c>
      <c r="C62" s="16" t="s">
        <v>206</v>
      </c>
      <c r="D62" s="15"/>
    </row>
    <row r="63">
      <c r="A63" s="14" t="s">
        <v>207</v>
      </c>
      <c r="B63" s="14" t="s">
        <v>208</v>
      </c>
      <c r="C63" s="16" t="s">
        <v>209</v>
      </c>
      <c r="D63" s="14"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56.13"/>
    <col customWidth="1" min="3" max="3" width="84.0"/>
    <col customWidth="1" min="4" max="4" width="15.63"/>
    <col customWidth="1" min="5" max="5" width="54.88"/>
  </cols>
  <sheetData>
    <row r="1">
      <c r="A1" s="20" t="s">
        <v>210</v>
      </c>
      <c r="B1" s="20" t="s">
        <v>211</v>
      </c>
      <c r="C1" s="20" t="s">
        <v>19</v>
      </c>
      <c r="D1" s="20" t="s">
        <v>212</v>
      </c>
      <c r="E1" s="20" t="s">
        <v>20</v>
      </c>
    </row>
    <row r="2">
      <c r="A2" s="14" t="s">
        <v>213</v>
      </c>
      <c r="B2" s="14" t="s">
        <v>214</v>
      </c>
      <c r="C2" s="14" t="s">
        <v>215</v>
      </c>
      <c r="D2" s="21" t="s">
        <v>216</v>
      </c>
      <c r="E2" s="22"/>
    </row>
    <row r="3">
      <c r="A3" s="14" t="s">
        <v>213</v>
      </c>
      <c r="B3" s="14" t="s">
        <v>217</v>
      </c>
      <c r="C3" s="14" t="s">
        <v>218</v>
      </c>
      <c r="D3" s="21" t="s">
        <v>216</v>
      </c>
      <c r="E3" s="22"/>
    </row>
    <row r="4">
      <c r="A4" s="14" t="s">
        <v>213</v>
      </c>
      <c r="B4" s="14" t="s">
        <v>219</v>
      </c>
      <c r="C4" s="14" t="s">
        <v>220</v>
      </c>
      <c r="D4" s="21" t="s">
        <v>216</v>
      </c>
      <c r="E4" s="15"/>
    </row>
    <row r="5">
      <c r="A5" s="14" t="s">
        <v>213</v>
      </c>
      <c r="B5" s="14" t="s">
        <v>221</v>
      </c>
      <c r="C5" s="14" t="s">
        <v>222</v>
      </c>
      <c r="D5" s="21" t="s">
        <v>216</v>
      </c>
      <c r="E5" s="15"/>
    </row>
    <row r="6">
      <c r="A6" s="14" t="s">
        <v>213</v>
      </c>
      <c r="B6" s="14" t="s">
        <v>223</v>
      </c>
      <c r="C6" s="14" t="s">
        <v>224</v>
      </c>
      <c r="D6" s="21" t="s">
        <v>216</v>
      </c>
      <c r="E6" s="15"/>
    </row>
    <row r="7">
      <c r="A7" s="14" t="s">
        <v>213</v>
      </c>
      <c r="B7" s="14" t="s">
        <v>225</v>
      </c>
      <c r="C7" s="14" t="s">
        <v>226</v>
      </c>
      <c r="D7" s="21" t="s">
        <v>216</v>
      </c>
      <c r="E7" s="15"/>
    </row>
    <row r="8">
      <c r="A8" s="14" t="s">
        <v>213</v>
      </c>
      <c r="B8" s="14" t="s">
        <v>227</v>
      </c>
      <c r="C8" s="14" t="s">
        <v>228</v>
      </c>
      <c r="D8" s="21" t="s">
        <v>216</v>
      </c>
      <c r="E8" s="15"/>
    </row>
    <row r="9">
      <c r="A9" s="14" t="s">
        <v>213</v>
      </c>
      <c r="B9" s="14" t="s">
        <v>229</v>
      </c>
      <c r="C9" s="14" t="s">
        <v>230</v>
      </c>
      <c r="D9" s="21" t="s">
        <v>216</v>
      </c>
      <c r="E9" s="15"/>
    </row>
    <row r="10">
      <c r="A10" s="14" t="s">
        <v>213</v>
      </c>
      <c r="B10" s="14" t="s">
        <v>231</v>
      </c>
      <c r="C10" s="14" t="s">
        <v>232</v>
      </c>
      <c r="D10" s="21" t="s">
        <v>216</v>
      </c>
      <c r="E10" s="15"/>
    </row>
    <row r="11">
      <c r="A11" s="14" t="s">
        <v>213</v>
      </c>
      <c r="B11" s="14" t="s">
        <v>233</v>
      </c>
      <c r="C11" s="14" t="s">
        <v>234</v>
      </c>
      <c r="D11" s="21" t="s">
        <v>216</v>
      </c>
      <c r="E11" s="15"/>
    </row>
    <row r="12">
      <c r="A12" s="14" t="s">
        <v>235</v>
      </c>
      <c r="B12" s="14" t="s">
        <v>236</v>
      </c>
      <c r="C12" s="14" t="s">
        <v>237</v>
      </c>
      <c r="D12" s="21" t="s">
        <v>216</v>
      </c>
      <c r="E12" s="22"/>
    </row>
    <row r="13">
      <c r="A13" s="14" t="s">
        <v>238</v>
      </c>
      <c r="B13" s="14" t="s">
        <v>239</v>
      </c>
      <c r="C13" s="14" t="s">
        <v>240</v>
      </c>
      <c r="D13" s="21" t="s">
        <v>216</v>
      </c>
      <c r="E13" s="15"/>
    </row>
    <row r="14">
      <c r="A14" s="14" t="s">
        <v>238</v>
      </c>
      <c r="B14" s="14" t="s">
        <v>241</v>
      </c>
      <c r="C14" s="14" t="s">
        <v>242</v>
      </c>
      <c r="D14" s="21" t="s">
        <v>216</v>
      </c>
      <c r="E14" s="16" t="s">
        <v>243</v>
      </c>
    </row>
    <row r="15">
      <c r="A15" s="14" t="s">
        <v>238</v>
      </c>
      <c r="B15" s="14" t="s">
        <v>244</v>
      </c>
      <c r="C15" s="14" t="s">
        <v>245</v>
      </c>
      <c r="D15" s="21" t="s">
        <v>216</v>
      </c>
      <c r="E15" s="15"/>
    </row>
    <row r="16">
      <c r="A16" s="14" t="s">
        <v>238</v>
      </c>
      <c r="B16" s="14" t="s">
        <v>246</v>
      </c>
      <c r="C16" s="14" t="s">
        <v>247</v>
      </c>
      <c r="D16" s="21" t="s">
        <v>216</v>
      </c>
      <c r="E16" s="15"/>
    </row>
    <row r="17">
      <c r="A17" s="19" t="s">
        <v>238</v>
      </c>
      <c r="B17" s="19" t="s">
        <v>248</v>
      </c>
      <c r="C17" s="19" t="s">
        <v>249</v>
      </c>
      <c r="D17" s="23" t="s">
        <v>216</v>
      </c>
      <c r="E17" s="15"/>
    </row>
    <row r="18">
      <c r="A18" s="14" t="s">
        <v>238</v>
      </c>
      <c r="B18" s="14" t="s">
        <v>250</v>
      </c>
      <c r="C18" s="14" t="s">
        <v>251</v>
      </c>
      <c r="D18" s="21" t="s">
        <v>216</v>
      </c>
      <c r="E18" s="15"/>
    </row>
    <row r="19">
      <c r="A19" s="14" t="s">
        <v>238</v>
      </c>
      <c r="B19" s="14" t="s">
        <v>252</v>
      </c>
      <c r="C19" s="14" t="s">
        <v>253</v>
      </c>
      <c r="D19" s="21" t="s">
        <v>216</v>
      </c>
      <c r="E19" s="15"/>
    </row>
    <row r="20">
      <c r="A20" s="14" t="s">
        <v>238</v>
      </c>
      <c r="B20" s="14" t="s">
        <v>254</v>
      </c>
      <c r="C20" s="14" t="s">
        <v>255</v>
      </c>
      <c r="D20" s="21" t="s">
        <v>216</v>
      </c>
      <c r="E20" s="16" t="s">
        <v>256</v>
      </c>
    </row>
    <row r="21">
      <c r="A21" s="14" t="s">
        <v>238</v>
      </c>
      <c r="B21" s="14" t="s">
        <v>257</v>
      </c>
      <c r="C21" s="14" t="s">
        <v>258</v>
      </c>
      <c r="D21" s="23" t="s">
        <v>216</v>
      </c>
      <c r="E21" s="15"/>
    </row>
    <row r="22">
      <c r="A22" s="14" t="s">
        <v>238</v>
      </c>
      <c r="B22" s="14" t="s">
        <v>259</v>
      </c>
      <c r="C22" s="14" t="s">
        <v>260</v>
      </c>
      <c r="D22" s="23" t="s">
        <v>216</v>
      </c>
      <c r="E22" s="15"/>
    </row>
    <row r="23">
      <c r="A23" s="14" t="s">
        <v>238</v>
      </c>
      <c r="B23" s="14" t="s">
        <v>261</v>
      </c>
      <c r="C23" s="14" t="s">
        <v>262</v>
      </c>
      <c r="D23" s="21" t="s">
        <v>216</v>
      </c>
      <c r="E23" s="15"/>
    </row>
    <row r="24">
      <c r="A24" s="14" t="s">
        <v>238</v>
      </c>
      <c r="B24" s="14" t="s">
        <v>263</v>
      </c>
      <c r="C24" s="14" t="s">
        <v>264</v>
      </c>
      <c r="D24" s="21" t="s">
        <v>216</v>
      </c>
      <c r="E24" s="14" t="s">
        <v>265</v>
      </c>
    </row>
    <row r="25">
      <c r="A25" s="14" t="s">
        <v>238</v>
      </c>
      <c r="B25" s="14" t="s">
        <v>266</v>
      </c>
      <c r="C25" s="14" t="s">
        <v>267</v>
      </c>
      <c r="D25" s="21" t="s">
        <v>216</v>
      </c>
      <c r="E25" s="15"/>
    </row>
    <row r="26">
      <c r="A26" s="14" t="s">
        <v>238</v>
      </c>
      <c r="B26" s="14" t="s">
        <v>268</v>
      </c>
      <c r="C26" s="19" t="s">
        <v>269</v>
      </c>
      <c r="D26" s="21" t="s">
        <v>216</v>
      </c>
      <c r="E26" s="15"/>
    </row>
    <row r="27">
      <c r="A27" s="14" t="s">
        <v>238</v>
      </c>
      <c r="B27" s="14" t="s">
        <v>270</v>
      </c>
      <c r="C27" s="14" t="s">
        <v>271</v>
      </c>
      <c r="D27" s="21" t="s">
        <v>216</v>
      </c>
      <c r="E27" s="15"/>
    </row>
    <row r="28">
      <c r="A28" s="14" t="s">
        <v>238</v>
      </c>
      <c r="B28" s="14" t="s">
        <v>272</v>
      </c>
      <c r="C28" s="14" t="s">
        <v>273</v>
      </c>
      <c r="D28" s="21" t="s">
        <v>274</v>
      </c>
      <c r="E28" s="16" t="s">
        <v>275</v>
      </c>
    </row>
    <row r="29">
      <c r="A29" s="14" t="s">
        <v>238</v>
      </c>
      <c r="B29" s="14" t="s">
        <v>276</v>
      </c>
      <c r="C29" s="14" t="s">
        <v>277</v>
      </c>
      <c r="D29" s="21" t="s">
        <v>274</v>
      </c>
      <c r="E29" s="15"/>
    </row>
    <row r="30">
      <c r="A30" s="14" t="s">
        <v>238</v>
      </c>
      <c r="B30" s="14" t="s">
        <v>278</v>
      </c>
      <c r="C30" s="14" t="s">
        <v>279</v>
      </c>
      <c r="D30" s="21" t="s">
        <v>274</v>
      </c>
      <c r="E30" s="15"/>
    </row>
    <row r="31">
      <c r="A31" s="14" t="s">
        <v>238</v>
      </c>
      <c r="B31" s="14" t="s">
        <v>280</v>
      </c>
      <c r="C31" s="14" t="s">
        <v>281</v>
      </c>
      <c r="D31" s="21" t="s">
        <v>274</v>
      </c>
      <c r="E31" s="15"/>
    </row>
    <row r="32">
      <c r="A32" s="14" t="s">
        <v>238</v>
      </c>
      <c r="B32" s="14" t="s">
        <v>282</v>
      </c>
      <c r="C32" s="14" t="s">
        <v>283</v>
      </c>
      <c r="D32" s="21" t="s">
        <v>274</v>
      </c>
      <c r="E32" s="15"/>
    </row>
    <row r="33">
      <c r="A33" s="14" t="s">
        <v>284</v>
      </c>
      <c r="B33" s="14" t="s">
        <v>285</v>
      </c>
      <c r="C33" s="14" t="s">
        <v>286</v>
      </c>
      <c r="D33" s="21" t="s">
        <v>274</v>
      </c>
      <c r="E33" s="15"/>
    </row>
    <row r="34">
      <c r="A34" s="14" t="s">
        <v>238</v>
      </c>
      <c r="B34" s="14" t="s">
        <v>287</v>
      </c>
      <c r="C34" s="14" t="s">
        <v>288</v>
      </c>
      <c r="D34" s="21" t="s">
        <v>274</v>
      </c>
      <c r="E34" s="15"/>
    </row>
    <row r="35">
      <c r="A35" s="14" t="s">
        <v>238</v>
      </c>
      <c r="B35" s="14" t="s">
        <v>289</v>
      </c>
      <c r="C35" s="14" t="s">
        <v>290</v>
      </c>
      <c r="D35" s="21" t="s">
        <v>274</v>
      </c>
      <c r="E35" s="15"/>
    </row>
    <row r="36">
      <c r="A36" s="14" t="s">
        <v>238</v>
      </c>
      <c r="B36" s="14" t="s">
        <v>291</v>
      </c>
      <c r="C36" s="14" t="s">
        <v>292</v>
      </c>
      <c r="D36" s="21" t="s">
        <v>274</v>
      </c>
      <c r="E36" s="15"/>
    </row>
    <row r="37">
      <c r="A37" s="14" t="s">
        <v>238</v>
      </c>
      <c r="B37" s="14" t="s">
        <v>293</v>
      </c>
      <c r="C37" s="14" t="s">
        <v>294</v>
      </c>
      <c r="D37" s="21" t="s">
        <v>216</v>
      </c>
      <c r="E37" s="15"/>
    </row>
    <row r="38">
      <c r="A38" s="14" t="s">
        <v>238</v>
      </c>
      <c r="B38" s="14" t="s">
        <v>295</v>
      </c>
      <c r="C38" s="14" t="s">
        <v>296</v>
      </c>
      <c r="D38" s="21" t="s">
        <v>216</v>
      </c>
      <c r="E38" s="15"/>
    </row>
    <row r="39">
      <c r="A39" s="14" t="s">
        <v>238</v>
      </c>
      <c r="B39" s="14" t="s">
        <v>297</v>
      </c>
      <c r="C39" s="14" t="s">
        <v>298</v>
      </c>
      <c r="D39" s="21" t="s">
        <v>216</v>
      </c>
      <c r="E39" s="15"/>
    </row>
    <row r="40">
      <c r="A40" s="14" t="s">
        <v>238</v>
      </c>
      <c r="B40" s="14" t="s">
        <v>25</v>
      </c>
      <c r="C40" s="22"/>
      <c r="D40" s="21"/>
      <c r="E40" s="22"/>
    </row>
    <row r="41">
      <c r="A41" s="14" t="s">
        <v>238</v>
      </c>
      <c r="B41" s="14" t="s">
        <v>299</v>
      </c>
      <c r="C41" s="14" t="s">
        <v>300</v>
      </c>
      <c r="D41" s="21" t="s">
        <v>216</v>
      </c>
      <c r="E41" s="15"/>
    </row>
    <row r="42">
      <c r="A42" s="14" t="s">
        <v>238</v>
      </c>
      <c r="B42" s="14" t="s">
        <v>301</v>
      </c>
      <c r="C42" s="14" t="s">
        <v>302</v>
      </c>
      <c r="D42" s="21" t="s">
        <v>216</v>
      </c>
      <c r="E42" s="15"/>
    </row>
    <row r="43">
      <c r="A43" s="14" t="s">
        <v>238</v>
      </c>
      <c r="B43" s="14" t="s">
        <v>303</v>
      </c>
      <c r="C43" s="14" t="s">
        <v>304</v>
      </c>
      <c r="D43" s="21" t="s">
        <v>216</v>
      </c>
      <c r="E43" s="15"/>
    </row>
    <row r="44">
      <c r="A44" s="14" t="s">
        <v>238</v>
      </c>
      <c r="B44" s="14" t="s">
        <v>305</v>
      </c>
      <c r="C44" s="14" t="s">
        <v>306</v>
      </c>
      <c r="D44" s="21" t="s">
        <v>274</v>
      </c>
      <c r="E44" s="14" t="s">
        <v>307</v>
      </c>
    </row>
    <row r="45">
      <c r="A45" s="14" t="s">
        <v>238</v>
      </c>
      <c r="B45" s="14" t="s">
        <v>308</v>
      </c>
      <c r="C45" s="14" t="s">
        <v>309</v>
      </c>
      <c r="D45" s="21" t="s">
        <v>274</v>
      </c>
      <c r="E45" s="14" t="s">
        <v>307</v>
      </c>
    </row>
    <row r="46">
      <c r="A46" s="14" t="s">
        <v>238</v>
      </c>
      <c r="B46" s="14" t="s">
        <v>310</v>
      </c>
      <c r="C46" s="14" t="s">
        <v>311</v>
      </c>
      <c r="D46" s="21" t="s">
        <v>216</v>
      </c>
      <c r="E46" s="15"/>
    </row>
    <row r="47">
      <c r="A47" s="14" t="s">
        <v>238</v>
      </c>
      <c r="B47" s="14" t="s">
        <v>312</v>
      </c>
      <c r="C47" s="14" t="s">
        <v>313</v>
      </c>
      <c r="D47" s="21" t="s">
        <v>216</v>
      </c>
      <c r="E47" s="15"/>
    </row>
    <row r="48">
      <c r="A48" s="14" t="s">
        <v>238</v>
      </c>
      <c r="B48" s="14" t="s">
        <v>314</v>
      </c>
      <c r="C48" s="14" t="s">
        <v>315</v>
      </c>
      <c r="D48" s="21" t="s">
        <v>216</v>
      </c>
      <c r="E48" s="15"/>
    </row>
    <row r="49">
      <c r="A49" s="14" t="s">
        <v>238</v>
      </c>
      <c r="B49" s="14" t="s">
        <v>316</v>
      </c>
      <c r="C49" s="14" t="s">
        <v>317</v>
      </c>
      <c r="D49" s="21" t="s">
        <v>274</v>
      </c>
      <c r="E49" s="15"/>
    </row>
    <row r="50">
      <c r="A50" s="14" t="s">
        <v>238</v>
      </c>
      <c r="B50" s="14" t="s">
        <v>318</v>
      </c>
      <c r="C50" s="14" t="s">
        <v>319</v>
      </c>
      <c r="D50" s="21" t="s">
        <v>274</v>
      </c>
      <c r="E50" s="16" t="s">
        <v>320</v>
      </c>
    </row>
    <row r="51">
      <c r="A51" s="14" t="s">
        <v>238</v>
      </c>
      <c r="B51" s="14" t="s">
        <v>321</v>
      </c>
      <c r="C51" s="14" t="s">
        <v>322</v>
      </c>
      <c r="D51" s="21" t="s">
        <v>216</v>
      </c>
      <c r="E51" s="15"/>
    </row>
    <row r="52">
      <c r="A52" s="14" t="s">
        <v>238</v>
      </c>
      <c r="B52" s="14" t="s">
        <v>323</v>
      </c>
      <c r="C52" s="14" t="s">
        <v>324</v>
      </c>
      <c r="D52" s="21" t="s">
        <v>274</v>
      </c>
      <c r="E52" s="22"/>
    </row>
    <row r="53">
      <c r="A53" s="14" t="s">
        <v>238</v>
      </c>
      <c r="B53" s="14" t="s">
        <v>325</v>
      </c>
      <c r="C53" s="14" t="s">
        <v>326</v>
      </c>
      <c r="D53" s="21" t="s">
        <v>274</v>
      </c>
      <c r="E53" s="22"/>
    </row>
    <row r="54">
      <c r="A54" s="14" t="s">
        <v>238</v>
      </c>
      <c r="B54" s="14" t="s">
        <v>327</v>
      </c>
      <c r="C54" s="14" t="s">
        <v>328</v>
      </c>
      <c r="D54" s="21" t="s">
        <v>274</v>
      </c>
      <c r="E54" s="22"/>
    </row>
    <row r="55">
      <c r="A55" s="14" t="s">
        <v>329</v>
      </c>
      <c r="B55" s="14" t="s">
        <v>330</v>
      </c>
      <c r="C55" s="14" t="s">
        <v>331</v>
      </c>
      <c r="D55" s="21" t="s">
        <v>274</v>
      </c>
      <c r="E55" s="22"/>
    </row>
    <row r="56">
      <c r="A56" s="14" t="s">
        <v>329</v>
      </c>
      <c r="B56" s="14" t="s">
        <v>332</v>
      </c>
      <c r="C56" s="14" t="s">
        <v>333</v>
      </c>
      <c r="D56" s="21" t="s">
        <v>274</v>
      </c>
      <c r="E56" s="22"/>
    </row>
    <row r="57">
      <c r="A57" s="14" t="s">
        <v>334</v>
      </c>
      <c r="B57" s="14" t="s">
        <v>335</v>
      </c>
      <c r="C57" s="14" t="s">
        <v>336</v>
      </c>
      <c r="D57" s="21" t="s">
        <v>274</v>
      </c>
      <c r="E57" s="14" t="s">
        <v>320</v>
      </c>
    </row>
    <row r="58">
      <c r="A58" s="14" t="s">
        <v>337</v>
      </c>
      <c r="B58" s="14" t="s">
        <v>338</v>
      </c>
      <c r="C58" s="14" t="s">
        <v>339</v>
      </c>
      <c r="D58" s="21" t="s">
        <v>216</v>
      </c>
      <c r="E58" s="22"/>
    </row>
    <row r="59">
      <c r="A59" s="14" t="s">
        <v>337</v>
      </c>
      <c r="B59" s="14" t="s">
        <v>340</v>
      </c>
      <c r="C59" s="14" t="s">
        <v>341</v>
      </c>
      <c r="D59" s="21" t="s">
        <v>216</v>
      </c>
      <c r="E59" s="22"/>
    </row>
    <row r="60">
      <c r="A60" s="14" t="s">
        <v>337</v>
      </c>
      <c r="B60" s="14" t="s">
        <v>342</v>
      </c>
      <c r="C60" s="14" t="s">
        <v>343</v>
      </c>
      <c r="D60" s="21" t="s">
        <v>216</v>
      </c>
      <c r="E60" s="19"/>
    </row>
    <row r="61">
      <c r="A61" s="14" t="s">
        <v>337</v>
      </c>
      <c r="B61" s="14" t="s">
        <v>344</v>
      </c>
      <c r="C61" s="14" t="s">
        <v>345</v>
      </c>
      <c r="D61" s="21" t="s">
        <v>216</v>
      </c>
      <c r="E61" s="19" t="s">
        <v>346</v>
      </c>
    </row>
    <row r="62">
      <c r="A62" s="14" t="s">
        <v>337</v>
      </c>
      <c r="B62" s="14" t="s">
        <v>347</v>
      </c>
      <c r="C62" s="14" t="s">
        <v>348</v>
      </c>
      <c r="D62" s="21" t="s">
        <v>216</v>
      </c>
      <c r="E62" s="19" t="s">
        <v>346</v>
      </c>
    </row>
    <row r="63">
      <c r="A63" s="14" t="s">
        <v>337</v>
      </c>
      <c r="B63" s="14" t="s">
        <v>349</v>
      </c>
      <c r="C63" s="14" t="s">
        <v>350</v>
      </c>
      <c r="D63" s="21" t="s">
        <v>216</v>
      </c>
      <c r="E63" s="19" t="s">
        <v>351</v>
      </c>
    </row>
    <row r="64">
      <c r="A64" s="14" t="s">
        <v>337</v>
      </c>
      <c r="B64" s="14" t="s">
        <v>352</v>
      </c>
      <c r="C64" s="14" t="s">
        <v>353</v>
      </c>
      <c r="D64" s="21" t="s">
        <v>216</v>
      </c>
      <c r="E64" s="19" t="s">
        <v>354</v>
      </c>
    </row>
    <row r="65">
      <c r="A65" s="14" t="s">
        <v>337</v>
      </c>
      <c r="B65" s="14" t="s">
        <v>355</v>
      </c>
      <c r="C65" s="14" t="s">
        <v>356</v>
      </c>
      <c r="D65" s="21" t="s">
        <v>216</v>
      </c>
      <c r="E65" s="19" t="s">
        <v>351</v>
      </c>
    </row>
    <row r="66">
      <c r="A66" s="14" t="s">
        <v>337</v>
      </c>
      <c r="B66" s="14" t="s">
        <v>357</v>
      </c>
      <c r="C66" s="14" t="s">
        <v>358</v>
      </c>
      <c r="D66" s="21" t="s">
        <v>216</v>
      </c>
      <c r="E66" s="15"/>
    </row>
    <row r="67">
      <c r="A67" s="14" t="s">
        <v>337</v>
      </c>
      <c r="B67" s="14" t="s">
        <v>359</v>
      </c>
      <c r="C67" s="14" t="s">
        <v>360</v>
      </c>
      <c r="D67" s="21" t="s">
        <v>216</v>
      </c>
      <c r="E67" s="15"/>
    </row>
    <row r="68">
      <c r="A68" s="14" t="s">
        <v>337</v>
      </c>
      <c r="B68" s="14" t="s">
        <v>361</v>
      </c>
      <c r="C68" s="14" t="s">
        <v>362</v>
      </c>
      <c r="D68" s="21" t="s">
        <v>216</v>
      </c>
      <c r="E68" s="22"/>
    </row>
    <row r="69">
      <c r="A69" s="14" t="s">
        <v>337</v>
      </c>
      <c r="B69" s="14" t="s">
        <v>363</v>
      </c>
      <c r="C69" s="14" t="s">
        <v>364</v>
      </c>
      <c r="D69" s="21" t="s">
        <v>216</v>
      </c>
      <c r="E69" s="15"/>
    </row>
    <row r="70">
      <c r="A70" s="14" t="s">
        <v>337</v>
      </c>
      <c r="B70" s="14" t="s">
        <v>365</v>
      </c>
      <c r="C70" s="14" t="s">
        <v>366</v>
      </c>
      <c r="D70" s="21" t="s">
        <v>274</v>
      </c>
      <c r="E70" s="15"/>
    </row>
    <row r="71">
      <c r="A71" s="14" t="s">
        <v>367</v>
      </c>
      <c r="B71" s="14" t="s">
        <v>368</v>
      </c>
      <c r="C71" s="14" t="s">
        <v>369</v>
      </c>
      <c r="D71" s="21" t="s">
        <v>216</v>
      </c>
      <c r="E71" s="15"/>
    </row>
    <row r="72">
      <c r="A72" s="14" t="s">
        <v>367</v>
      </c>
      <c r="B72" s="14" t="s">
        <v>370</v>
      </c>
      <c r="C72" s="14" t="s">
        <v>371</v>
      </c>
      <c r="D72" s="21" t="s">
        <v>372</v>
      </c>
      <c r="E72" s="15"/>
    </row>
    <row r="73">
      <c r="A73" s="16" t="s">
        <v>367</v>
      </c>
      <c r="B73" s="16" t="s">
        <v>373</v>
      </c>
      <c r="C73" s="16" t="s">
        <v>374</v>
      </c>
      <c r="D73" s="24" t="s">
        <v>372</v>
      </c>
      <c r="E73" s="15"/>
    </row>
    <row r="74">
      <c r="A74" s="16" t="s">
        <v>367</v>
      </c>
      <c r="B74" s="16" t="s">
        <v>375</v>
      </c>
      <c r="C74" s="16" t="s">
        <v>376</v>
      </c>
      <c r="D74" s="21" t="s">
        <v>216</v>
      </c>
      <c r="E74" s="15"/>
    </row>
    <row r="75">
      <c r="A75" s="16" t="s">
        <v>367</v>
      </c>
      <c r="B75" s="16" t="s">
        <v>377</v>
      </c>
      <c r="C75" s="16" t="s">
        <v>378</v>
      </c>
      <c r="D75" s="21" t="s">
        <v>274</v>
      </c>
      <c r="E75" s="15"/>
    </row>
    <row r="76">
      <c r="A76" s="16" t="s">
        <v>367</v>
      </c>
      <c r="B76" s="16" t="s">
        <v>379</v>
      </c>
      <c r="C76" s="16" t="s">
        <v>380</v>
      </c>
      <c r="D76" s="21" t="s">
        <v>274</v>
      </c>
      <c r="E76" s="15"/>
    </row>
    <row r="77">
      <c r="A77" s="16" t="s">
        <v>367</v>
      </c>
      <c r="B77" s="16" t="s">
        <v>381</v>
      </c>
      <c r="C77" s="16" t="s">
        <v>382</v>
      </c>
      <c r="D77" s="21" t="s">
        <v>274</v>
      </c>
      <c r="E77" s="15"/>
    </row>
    <row r="78">
      <c r="A78" s="16" t="s">
        <v>367</v>
      </c>
      <c r="B78" s="16" t="s">
        <v>383</v>
      </c>
      <c r="C78" s="16" t="s">
        <v>384</v>
      </c>
      <c r="D78" s="21" t="s">
        <v>274</v>
      </c>
      <c r="E78" s="15"/>
    </row>
    <row r="79">
      <c r="A79" s="16" t="s">
        <v>367</v>
      </c>
      <c r="B79" s="16" t="s">
        <v>385</v>
      </c>
      <c r="C79" s="16" t="s">
        <v>386</v>
      </c>
      <c r="D79" s="21" t="s">
        <v>274</v>
      </c>
      <c r="E79" s="16" t="s">
        <v>387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33.63"/>
    <col customWidth="1" min="3" max="3" width="102.88"/>
    <col customWidth="1" min="4" max="4" width="15.63"/>
    <col customWidth="1" min="5" max="5" width="59.38"/>
  </cols>
  <sheetData>
    <row r="1">
      <c r="A1" s="25" t="s">
        <v>210</v>
      </c>
      <c r="B1" s="26" t="s">
        <v>211</v>
      </c>
      <c r="C1" s="25" t="s">
        <v>19</v>
      </c>
      <c r="D1" s="27" t="s">
        <v>212</v>
      </c>
      <c r="E1" s="25" t="s">
        <v>20</v>
      </c>
    </row>
    <row r="2">
      <c r="A2" s="28" t="s">
        <v>213</v>
      </c>
      <c r="B2" s="29" t="s">
        <v>388</v>
      </c>
      <c r="C2" s="30" t="s">
        <v>389</v>
      </c>
      <c r="D2" s="31" t="s">
        <v>216</v>
      </c>
      <c r="E2" s="32"/>
    </row>
    <row r="3">
      <c r="A3" s="28" t="s">
        <v>213</v>
      </c>
      <c r="B3" s="29" t="s">
        <v>390</v>
      </c>
      <c r="C3" s="30" t="s">
        <v>391</v>
      </c>
      <c r="D3" s="31" t="s">
        <v>216</v>
      </c>
      <c r="E3" s="32"/>
    </row>
    <row r="4">
      <c r="A4" s="28" t="s">
        <v>213</v>
      </c>
      <c r="B4" s="29" t="s">
        <v>392</v>
      </c>
      <c r="C4" s="30" t="s">
        <v>393</v>
      </c>
      <c r="D4" s="31" t="s">
        <v>216</v>
      </c>
      <c r="E4" s="33"/>
    </row>
    <row r="5">
      <c r="A5" s="28" t="s">
        <v>235</v>
      </c>
      <c r="B5" s="29" t="s">
        <v>394</v>
      </c>
      <c r="C5" s="30" t="s">
        <v>395</v>
      </c>
      <c r="D5" s="31" t="s">
        <v>216</v>
      </c>
      <c r="E5" s="33"/>
    </row>
    <row r="6">
      <c r="A6" s="28" t="s">
        <v>238</v>
      </c>
      <c r="B6" s="29" t="s">
        <v>396</v>
      </c>
      <c r="C6" s="30" t="s">
        <v>397</v>
      </c>
      <c r="D6" s="31" t="s">
        <v>216</v>
      </c>
      <c r="E6" s="33"/>
    </row>
    <row r="7">
      <c r="A7" s="28" t="s">
        <v>238</v>
      </c>
      <c r="B7" s="29" t="s">
        <v>398</v>
      </c>
      <c r="C7" s="30" t="s">
        <v>399</v>
      </c>
      <c r="D7" s="31" t="s">
        <v>216</v>
      </c>
      <c r="E7" s="33"/>
    </row>
    <row r="8">
      <c r="A8" s="28" t="s">
        <v>238</v>
      </c>
      <c r="B8" s="29" t="s">
        <v>400</v>
      </c>
      <c r="C8" s="30" t="s">
        <v>401</v>
      </c>
      <c r="D8" s="31" t="s">
        <v>216</v>
      </c>
      <c r="E8" s="33"/>
    </row>
    <row r="9">
      <c r="A9" s="28" t="s">
        <v>238</v>
      </c>
      <c r="B9" s="29" t="s">
        <v>402</v>
      </c>
      <c r="C9" s="30" t="s">
        <v>403</v>
      </c>
      <c r="D9" s="31" t="s">
        <v>216</v>
      </c>
      <c r="E9" s="33"/>
    </row>
    <row r="10">
      <c r="A10" s="28" t="s">
        <v>238</v>
      </c>
      <c r="B10" s="29" t="s">
        <v>404</v>
      </c>
      <c r="C10" s="30" t="s">
        <v>405</v>
      </c>
      <c r="D10" s="31" t="s">
        <v>216</v>
      </c>
      <c r="E10" s="33"/>
    </row>
    <row r="11">
      <c r="A11" s="28" t="s">
        <v>238</v>
      </c>
      <c r="B11" s="29" t="s">
        <v>406</v>
      </c>
      <c r="C11" s="30" t="s">
        <v>407</v>
      </c>
      <c r="D11" s="31" t="s">
        <v>216</v>
      </c>
      <c r="E11" s="33"/>
    </row>
    <row r="12">
      <c r="A12" s="28" t="s">
        <v>238</v>
      </c>
      <c r="B12" s="29" t="s">
        <v>408</v>
      </c>
      <c r="C12" s="30" t="s">
        <v>409</v>
      </c>
      <c r="D12" s="31" t="s">
        <v>274</v>
      </c>
      <c r="E12" s="33"/>
    </row>
    <row r="13">
      <c r="A13" s="28" t="s">
        <v>238</v>
      </c>
      <c r="B13" s="29" t="s">
        <v>410</v>
      </c>
      <c r="C13" s="30" t="s">
        <v>411</v>
      </c>
      <c r="D13" s="31" t="s">
        <v>274</v>
      </c>
      <c r="E13" s="30"/>
    </row>
    <row r="14">
      <c r="A14" s="28" t="s">
        <v>238</v>
      </c>
      <c r="B14" s="29" t="s">
        <v>412</v>
      </c>
      <c r="C14" s="30" t="s">
        <v>413</v>
      </c>
      <c r="D14" s="31" t="s">
        <v>274</v>
      </c>
      <c r="E14" s="33"/>
    </row>
    <row r="15">
      <c r="A15" s="28" t="s">
        <v>238</v>
      </c>
      <c r="B15" s="29" t="s">
        <v>414</v>
      </c>
      <c r="C15" s="30" t="s">
        <v>415</v>
      </c>
      <c r="D15" s="31" t="s">
        <v>274</v>
      </c>
      <c r="E15" s="33"/>
    </row>
    <row r="16">
      <c r="A16" s="28" t="s">
        <v>238</v>
      </c>
      <c r="B16" s="29" t="s">
        <v>416</v>
      </c>
      <c r="C16" s="30" t="s">
        <v>417</v>
      </c>
      <c r="D16" s="31" t="s">
        <v>274</v>
      </c>
      <c r="E16" s="33"/>
    </row>
    <row r="17">
      <c r="A17" s="28" t="s">
        <v>238</v>
      </c>
      <c r="B17" s="34" t="s">
        <v>418</v>
      </c>
      <c r="C17" s="30" t="s">
        <v>419</v>
      </c>
      <c r="D17" s="31" t="s">
        <v>274</v>
      </c>
      <c r="E17" s="33"/>
    </row>
    <row r="18">
      <c r="A18" s="28" t="s">
        <v>238</v>
      </c>
      <c r="B18" s="28" t="s">
        <v>420</v>
      </c>
      <c r="C18" s="28" t="s">
        <v>421</v>
      </c>
      <c r="D18" s="31" t="s">
        <v>274</v>
      </c>
      <c r="E18" s="34"/>
    </row>
    <row r="19">
      <c r="A19" s="28" t="s">
        <v>238</v>
      </c>
      <c r="B19" s="28" t="s">
        <v>422</v>
      </c>
      <c r="C19" s="28" t="s">
        <v>423</v>
      </c>
      <c r="D19" s="31" t="s">
        <v>274</v>
      </c>
      <c r="E19" s="34"/>
    </row>
    <row r="20">
      <c r="A20" s="28" t="s">
        <v>238</v>
      </c>
      <c r="B20" s="28" t="s">
        <v>424</v>
      </c>
      <c r="C20" s="28" t="s">
        <v>425</v>
      </c>
      <c r="D20" s="31" t="s">
        <v>274</v>
      </c>
      <c r="E20" s="34"/>
    </row>
    <row r="21">
      <c r="A21" s="28" t="s">
        <v>238</v>
      </c>
      <c r="B21" s="28" t="s">
        <v>426</v>
      </c>
      <c r="C21" s="35" t="s">
        <v>427</v>
      </c>
      <c r="D21" s="36" t="s">
        <v>274</v>
      </c>
      <c r="E21" s="34"/>
    </row>
    <row r="22">
      <c r="A22" s="28" t="s">
        <v>238</v>
      </c>
      <c r="B22" s="28" t="s">
        <v>428</v>
      </c>
      <c r="C22" s="37"/>
      <c r="D22" s="37"/>
      <c r="E22" s="34"/>
    </row>
    <row r="23">
      <c r="A23" s="28" t="s">
        <v>238</v>
      </c>
      <c r="B23" s="28" t="s">
        <v>429</v>
      </c>
      <c r="C23" s="37"/>
      <c r="D23" s="37"/>
      <c r="E23" s="34"/>
    </row>
    <row r="24">
      <c r="A24" s="28" t="s">
        <v>238</v>
      </c>
      <c r="B24" s="28" t="s">
        <v>430</v>
      </c>
      <c r="C24" s="38"/>
      <c r="D24" s="38"/>
      <c r="E24" s="34"/>
    </row>
    <row r="25">
      <c r="A25" s="28" t="s">
        <v>238</v>
      </c>
      <c r="B25" s="28" t="s">
        <v>431</v>
      </c>
      <c r="C25" s="28" t="s">
        <v>432</v>
      </c>
      <c r="D25" s="39" t="s">
        <v>274</v>
      </c>
      <c r="E25" s="34"/>
    </row>
    <row r="26">
      <c r="A26" s="28" t="s">
        <v>337</v>
      </c>
      <c r="B26" s="28" t="s">
        <v>433</v>
      </c>
      <c r="C26" s="28" t="s">
        <v>434</v>
      </c>
      <c r="D26" s="39" t="s">
        <v>216</v>
      </c>
      <c r="E26" s="34"/>
    </row>
    <row r="27">
      <c r="A27" s="28" t="s">
        <v>337</v>
      </c>
      <c r="B27" s="28" t="s">
        <v>435</v>
      </c>
      <c r="C27" s="28" t="s">
        <v>436</v>
      </c>
      <c r="D27" s="39" t="s">
        <v>216</v>
      </c>
      <c r="E27" s="34"/>
    </row>
    <row r="28">
      <c r="A28" s="28" t="s">
        <v>337</v>
      </c>
      <c r="B28" s="28" t="s">
        <v>437</v>
      </c>
      <c r="C28" s="28" t="s">
        <v>438</v>
      </c>
      <c r="D28" s="39" t="s">
        <v>274</v>
      </c>
      <c r="E28" s="34"/>
    </row>
    <row r="29">
      <c r="A29" s="28" t="s">
        <v>337</v>
      </c>
      <c r="B29" s="28" t="s">
        <v>439</v>
      </c>
      <c r="C29" s="28" t="s">
        <v>440</v>
      </c>
      <c r="D29" s="39" t="s">
        <v>274</v>
      </c>
      <c r="E29" s="34"/>
    </row>
    <row r="30">
      <c r="A30" s="28" t="s">
        <v>367</v>
      </c>
      <c r="B30" s="28" t="s">
        <v>441</v>
      </c>
      <c r="C30" s="28" t="s">
        <v>442</v>
      </c>
      <c r="D30" s="39" t="s">
        <v>216</v>
      </c>
      <c r="E30" s="34"/>
    </row>
    <row r="31">
      <c r="A31" s="28" t="s">
        <v>367</v>
      </c>
      <c r="B31" s="28" t="s">
        <v>443</v>
      </c>
      <c r="C31" s="28" t="s">
        <v>444</v>
      </c>
      <c r="D31" s="39" t="s">
        <v>216</v>
      </c>
      <c r="E31" s="34"/>
    </row>
    <row r="32">
      <c r="A32" s="28" t="s">
        <v>367</v>
      </c>
      <c r="B32" s="28" t="s">
        <v>445</v>
      </c>
      <c r="C32" s="28" t="s">
        <v>446</v>
      </c>
      <c r="D32" s="39" t="s">
        <v>216</v>
      </c>
      <c r="E32" s="34"/>
    </row>
    <row r="33">
      <c r="A33" s="28" t="s">
        <v>367</v>
      </c>
      <c r="B33" s="28" t="s">
        <v>447</v>
      </c>
      <c r="C33" s="28" t="s">
        <v>448</v>
      </c>
      <c r="D33" s="39" t="s">
        <v>274</v>
      </c>
      <c r="E33" s="34"/>
    </row>
    <row r="34">
      <c r="A34" s="40" t="s">
        <v>449</v>
      </c>
      <c r="B34" s="40" t="s">
        <v>450</v>
      </c>
      <c r="C34" s="40" t="s">
        <v>451</v>
      </c>
      <c r="D34" s="39" t="s">
        <v>216</v>
      </c>
      <c r="E34" s="41"/>
    </row>
    <row r="35">
      <c r="A35" s="40" t="s">
        <v>449</v>
      </c>
      <c r="B35" s="40" t="s">
        <v>452</v>
      </c>
      <c r="C35" s="40" t="s">
        <v>453</v>
      </c>
      <c r="D35" s="39" t="s">
        <v>216</v>
      </c>
      <c r="E35" s="41"/>
    </row>
    <row r="36">
      <c r="A36" s="40" t="s">
        <v>449</v>
      </c>
      <c r="B36" s="40" t="s">
        <v>454</v>
      </c>
      <c r="C36" s="40" t="s">
        <v>455</v>
      </c>
      <c r="D36" s="39" t="s">
        <v>216</v>
      </c>
      <c r="E36" s="41"/>
    </row>
    <row r="37">
      <c r="A37" s="40" t="s">
        <v>449</v>
      </c>
      <c r="B37" s="40" t="s">
        <v>456</v>
      </c>
      <c r="C37" s="40" t="s">
        <v>457</v>
      </c>
      <c r="D37" s="39" t="s">
        <v>216</v>
      </c>
      <c r="E37" s="40"/>
    </row>
    <row r="38">
      <c r="A38" s="40" t="s">
        <v>449</v>
      </c>
      <c r="B38" s="40" t="s">
        <v>458</v>
      </c>
      <c r="C38" s="40" t="s">
        <v>459</v>
      </c>
      <c r="D38" s="39" t="s">
        <v>216</v>
      </c>
      <c r="E38" s="40"/>
    </row>
    <row r="39">
      <c r="A39" s="40" t="s">
        <v>449</v>
      </c>
      <c r="B39" s="40" t="s">
        <v>460</v>
      </c>
      <c r="C39" s="40" t="s">
        <v>461</v>
      </c>
      <c r="D39" s="39" t="s">
        <v>216</v>
      </c>
      <c r="E39" s="41"/>
    </row>
    <row r="40">
      <c r="A40" s="40" t="s">
        <v>449</v>
      </c>
      <c r="B40" s="40" t="s">
        <v>462</v>
      </c>
      <c r="C40" s="40" t="s">
        <v>463</v>
      </c>
      <c r="D40" s="39" t="s">
        <v>216</v>
      </c>
      <c r="E40" s="40" t="s">
        <v>464</v>
      </c>
    </row>
    <row r="41">
      <c r="A41" s="40" t="s">
        <v>449</v>
      </c>
      <c r="B41" s="40" t="s">
        <v>465</v>
      </c>
      <c r="C41" s="40" t="s">
        <v>466</v>
      </c>
      <c r="D41" s="39" t="s">
        <v>216</v>
      </c>
      <c r="E41" s="40"/>
    </row>
    <row r="42">
      <c r="A42" s="40" t="s">
        <v>449</v>
      </c>
      <c r="B42" s="40" t="s">
        <v>467</v>
      </c>
      <c r="C42" s="40" t="s">
        <v>468</v>
      </c>
      <c r="D42" s="39" t="s">
        <v>216</v>
      </c>
      <c r="E42" s="41"/>
    </row>
    <row r="43">
      <c r="A43" s="40" t="s">
        <v>449</v>
      </c>
      <c r="B43" s="40" t="s">
        <v>469</v>
      </c>
      <c r="C43" s="40" t="s">
        <v>470</v>
      </c>
      <c r="D43" s="39" t="s">
        <v>216</v>
      </c>
      <c r="E43" s="41"/>
    </row>
    <row r="44">
      <c r="A44" s="40" t="s">
        <v>449</v>
      </c>
      <c r="B44" s="40" t="s">
        <v>471</v>
      </c>
      <c r="C44" s="40" t="s">
        <v>472</v>
      </c>
      <c r="D44" s="39" t="s">
        <v>216</v>
      </c>
      <c r="E44" s="41"/>
    </row>
    <row r="45">
      <c r="A45" s="40" t="s">
        <v>449</v>
      </c>
      <c r="B45" s="40" t="s">
        <v>473</v>
      </c>
      <c r="C45" s="40" t="s">
        <v>474</v>
      </c>
      <c r="D45" s="39" t="s">
        <v>216</v>
      </c>
      <c r="E45" s="41"/>
    </row>
    <row r="46">
      <c r="A46" s="40" t="s">
        <v>449</v>
      </c>
      <c r="B46" s="40" t="s">
        <v>475</v>
      </c>
      <c r="C46" s="40" t="s">
        <v>476</v>
      </c>
      <c r="D46" s="39" t="s">
        <v>216</v>
      </c>
      <c r="E46" s="41"/>
    </row>
    <row r="47">
      <c r="A47" s="40" t="s">
        <v>449</v>
      </c>
      <c r="B47" s="40" t="s">
        <v>477</v>
      </c>
      <c r="C47" s="40" t="s">
        <v>478</v>
      </c>
      <c r="D47" s="39" t="s">
        <v>216</v>
      </c>
      <c r="E47" s="41"/>
    </row>
    <row r="48">
      <c r="A48" s="40" t="s">
        <v>449</v>
      </c>
      <c r="B48" s="40" t="s">
        <v>479</v>
      </c>
      <c r="C48" s="40" t="s">
        <v>480</v>
      </c>
      <c r="D48" s="39" t="s">
        <v>216</v>
      </c>
      <c r="E48" s="41"/>
    </row>
    <row r="49">
      <c r="A49" s="28" t="s">
        <v>449</v>
      </c>
      <c r="B49" s="28" t="s">
        <v>481</v>
      </c>
      <c r="C49" s="40" t="s">
        <v>482</v>
      </c>
      <c r="D49" s="39" t="s">
        <v>216</v>
      </c>
      <c r="E49" s="41"/>
    </row>
    <row r="50">
      <c r="A50" s="40" t="s">
        <v>449</v>
      </c>
      <c r="B50" s="40" t="s">
        <v>483</v>
      </c>
      <c r="C50" s="40" t="s">
        <v>484</v>
      </c>
      <c r="D50" s="39" t="s">
        <v>216</v>
      </c>
      <c r="E50" s="41"/>
    </row>
    <row r="51">
      <c r="A51" s="40" t="s">
        <v>449</v>
      </c>
      <c r="B51" s="40" t="s">
        <v>485</v>
      </c>
      <c r="C51" s="40" t="s">
        <v>486</v>
      </c>
      <c r="D51" s="39" t="s">
        <v>216</v>
      </c>
      <c r="E51" s="41"/>
    </row>
    <row r="52">
      <c r="A52" s="40" t="s">
        <v>449</v>
      </c>
      <c r="B52" s="40" t="s">
        <v>487</v>
      </c>
      <c r="C52" s="40" t="s">
        <v>488</v>
      </c>
      <c r="D52" s="39" t="s">
        <v>216</v>
      </c>
      <c r="E52" s="41"/>
    </row>
    <row r="53">
      <c r="A53" s="40" t="s">
        <v>449</v>
      </c>
      <c r="B53" s="40" t="s">
        <v>489</v>
      </c>
      <c r="C53" s="40" t="s">
        <v>490</v>
      </c>
      <c r="D53" s="39" t="s">
        <v>216</v>
      </c>
      <c r="E53" s="41"/>
    </row>
    <row r="54">
      <c r="A54" s="40" t="s">
        <v>449</v>
      </c>
      <c r="B54" s="40" t="s">
        <v>491</v>
      </c>
      <c r="C54" s="40" t="s">
        <v>492</v>
      </c>
      <c r="D54" s="39" t="s">
        <v>216</v>
      </c>
      <c r="E54" s="41"/>
    </row>
    <row r="55">
      <c r="A55" s="40" t="s">
        <v>449</v>
      </c>
      <c r="B55" s="40" t="s">
        <v>493</v>
      </c>
      <c r="C55" s="40" t="s">
        <v>494</v>
      </c>
      <c r="D55" s="39" t="s">
        <v>216</v>
      </c>
      <c r="E55" s="41"/>
    </row>
  </sheetData>
  <mergeCells count="2">
    <mergeCell ref="C21:C24"/>
    <mergeCell ref="D21:D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77.0"/>
    <col customWidth="1" min="3" max="3" width="81.88"/>
    <col customWidth="1" min="4" max="4" width="15.63"/>
    <col customWidth="1" min="5" max="5" width="120.38"/>
  </cols>
  <sheetData>
    <row r="1">
      <c r="A1" s="20" t="s">
        <v>210</v>
      </c>
      <c r="B1" s="20" t="s">
        <v>495</v>
      </c>
      <c r="C1" s="20" t="s">
        <v>19</v>
      </c>
      <c r="D1" s="20" t="s">
        <v>212</v>
      </c>
      <c r="E1" s="20" t="s">
        <v>20</v>
      </c>
    </row>
    <row r="2">
      <c r="A2" s="14" t="s">
        <v>213</v>
      </c>
      <c r="B2" s="14" t="s">
        <v>496</v>
      </c>
      <c r="C2" s="14" t="s">
        <v>179</v>
      </c>
      <c r="D2" s="21" t="s">
        <v>216</v>
      </c>
      <c r="E2" s="42" t="s">
        <v>497</v>
      </c>
    </row>
    <row r="3">
      <c r="A3" s="14" t="s">
        <v>213</v>
      </c>
      <c r="B3" s="14" t="s">
        <v>498</v>
      </c>
      <c r="C3" s="14" t="s">
        <v>179</v>
      </c>
      <c r="D3" s="21" t="s">
        <v>216</v>
      </c>
      <c r="E3" s="43" t="s">
        <v>499</v>
      </c>
    </row>
    <row r="4">
      <c r="A4" s="14" t="s">
        <v>213</v>
      </c>
      <c r="B4" s="14" t="s">
        <v>500</v>
      </c>
      <c r="C4" s="14" t="s">
        <v>179</v>
      </c>
      <c r="D4" s="21" t="s">
        <v>216</v>
      </c>
      <c r="E4" s="43" t="s">
        <v>501</v>
      </c>
    </row>
    <row r="5">
      <c r="A5" s="14" t="s">
        <v>213</v>
      </c>
      <c r="B5" s="14" t="s">
        <v>502</v>
      </c>
      <c r="C5" s="14" t="s">
        <v>179</v>
      </c>
      <c r="D5" s="21" t="s">
        <v>216</v>
      </c>
      <c r="E5" s="14" t="s">
        <v>503</v>
      </c>
    </row>
    <row r="6">
      <c r="A6" s="14" t="s">
        <v>213</v>
      </c>
      <c r="B6" s="14" t="s">
        <v>504</v>
      </c>
      <c r="C6" s="14" t="s">
        <v>505</v>
      </c>
      <c r="D6" s="21" t="s">
        <v>216</v>
      </c>
      <c r="E6" s="15"/>
    </row>
    <row r="7">
      <c r="A7" s="14" t="s">
        <v>213</v>
      </c>
      <c r="B7" s="14" t="s">
        <v>506</v>
      </c>
      <c r="C7" s="14" t="s">
        <v>507</v>
      </c>
      <c r="D7" s="21" t="s">
        <v>274</v>
      </c>
      <c r="E7" s="42" t="s">
        <v>508</v>
      </c>
    </row>
    <row r="8">
      <c r="A8" s="14" t="s">
        <v>213</v>
      </c>
      <c r="B8" s="14" t="s">
        <v>509</v>
      </c>
      <c r="C8" s="14" t="s">
        <v>510</v>
      </c>
      <c r="D8" s="21" t="s">
        <v>216</v>
      </c>
      <c r="E8" s="15"/>
    </row>
    <row r="9">
      <c r="A9" s="14" t="s">
        <v>213</v>
      </c>
      <c r="B9" s="14" t="s">
        <v>511</v>
      </c>
      <c r="C9" s="14" t="s">
        <v>512</v>
      </c>
      <c r="D9" s="21" t="s">
        <v>274</v>
      </c>
      <c r="E9" s="42" t="s">
        <v>513</v>
      </c>
    </row>
    <row r="10">
      <c r="A10" s="14" t="s">
        <v>213</v>
      </c>
      <c r="B10" s="14" t="s">
        <v>514</v>
      </c>
      <c r="C10" s="14" t="s">
        <v>515</v>
      </c>
      <c r="D10" s="21" t="s">
        <v>274</v>
      </c>
      <c r="E10" s="42" t="s">
        <v>516</v>
      </c>
    </row>
    <row r="11">
      <c r="A11" s="14" t="s">
        <v>517</v>
      </c>
      <c r="B11" s="14" t="s">
        <v>518</v>
      </c>
      <c r="C11" s="14" t="s">
        <v>519</v>
      </c>
      <c r="D11" s="21" t="s">
        <v>274</v>
      </c>
      <c r="E11" s="14" t="s">
        <v>520</v>
      </c>
    </row>
    <row r="12">
      <c r="A12" s="14" t="s">
        <v>517</v>
      </c>
      <c r="B12" s="14" t="s">
        <v>521</v>
      </c>
      <c r="C12" s="14" t="s">
        <v>522</v>
      </c>
      <c r="D12" s="21" t="s">
        <v>274</v>
      </c>
      <c r="E12" s="14" t="s">
        <v>523</v>
      </c>
    </row>
    <row r="13">
      <c r="A13" s="14" t="s">
        <v>517</v>
      </c>
      <c r="B13" s="14" t="s">
        <v>524</v>
      </c>
      <c r="C13" s="14" t="s">
        <v>525</v>
      </c>
      <c r="D13" s="21" t="s">
        <v>274</v>
      </c>
      <c r="E13" s="15"/>
    </row>
    <row r="14">
      <c r="A14" s="14" t="s">
        <v>517</v>
      </c>
      <c r="B14" s="14" t="s">
        <v>526</v>
      </c>
      <c r="C14" s="14" t="s">
        <v>525</v>
      </c>
      <c r="D14" s="21" t="s">
        <v>216</v>
      </c>
      <c r="E14" s="15"/>
    </row>
    <row r="15">
      <c r="A15" s="14" t="s">
        <v>517</v>
      </c>
      <c r="B15" s="14" t="s">
        <v>527</v>
      </c>
      <c r="C15" s="14" t="s">
        <v>525</v>
      </c>
      <c r="D15" s="21" t="s">
        <v>216</v>
      </c>
      <c r="E15" s="15"/>
    </row>
    <row r="16">
      <c r="A16" s="14" t="s">
        <v>517</v>
      </c>
      <c r="B16" s="14" t="s">
        <v>528</v>
      </c>
      <c r="C16" s="14" t="s">
        <v>525</v>
      </c>
      <c r="D16" s="21" t="s">
        <v>274</v>
      </c>
      <c r="E16" s="15"/>
    </row>
    <row r="17">
      <c r="A17" s="14" t="s">
        <v>235</v>
      </c>
      <c r="B17" s="14" t="s">
        <v>529</v>
      </c>
      <c r="C17" s="14" t="s">
        <v>530</v>
      </c>
      <c r="D17" s="21" t="s">
        <v>274</v>
      </c>
      <c r="E17" s="14" t="s">
        <v>531</v>
      </c>
    </row>
    <row r="18">
      <c r="A18" s="14" t="s">
        <v>235</v>
      </c>
      <c r="B18" s="14" t="s">
        <v>532</v>
      </c>
      <c r="C18" s="14" t="s">
        <v>525</v>
      </c>
      <c r="D18" s="21" t="s">
        <v>274</v>
      </c>
      <c r="E18" s="15"/>
    </row>
    <row r="19">
      <c r="A19" s="14" t="s">
        <v>235</v>
      </c>
      <c r="B19" s="14" t="s">
        <v>533</v>
      </c>
      <c r="C19" s="14" t="s">
        <v>534</v>
      </c>
      <c r="D19" s="21" t="s">
        <v>216</v>
      </c>
      <c r="E19" s="15"/>
    </row>
    <row r="20">
      <c r="A20" s="14" t="s">
        <v>235</v>
      </c>
      <c r="B20" s="14" t="s">
        <v>535</v>
      </c>
      <c r="C20" s="14" t="s">
        <v>536</v>
      </c>
      <c r="D20" s="21" t="s">
        <v>274</v>
      </c>
      <c r="E20" s="15"/>
    </row>
    <row r="21">
      <c r="A21" s="14" t="s">
        <v>235</v>
      </c>
      <c r="B21" s="19" t="s">
        <v>537</v>
      </c>
      <c r="C21" s="14" t="s">
        <v>538</v>
      </c>
      <c r="D21" s="21" t="s">
        <v>274</v>
      </c>
      <c r="E21" s="15"/>
    </row>
    <row r="22">
      <c r="A22" s="14" t="s">
        <v>235</v>
      </c>
      <c r="B22" s="14" t="s">
        <v>539</v>
      </c>
      <c r="C22" s="14" t="s">
        <v>540</v>
      </c>
      <c r="D22" s="21" t="s">
        <v>274</v>
      </c>
      <c r="E22" s="15"/>
    </row>
    <row r="23">
      <c r="A23" s="14" t="s">
        <v>235</v>
      </c>
      <c r="B23" s="14" t="s">
        <v>541</v>
      </c>
      <c r="C23" s="14" t="s">
        <v>542</v>
      </c>
      <c r="D23" s="21" t="s">
        <v>274</v>
      </c>
      <c r="E23" s="22"/>
    </row>
    <row r="24">
      <c r="A24" s="14" t="s">
        <v>235</v>
      </c>
      <c r="B24" s="14" t="s">
        <v>543</v>
      </c>
      <c r="C24" s="14" t="s">
        <v>544</v>
      </c>
      <c r="D24" s="21" t="s">
        <v>274</v>
      </c>
      <c r="E24" s="14" t="s">
        <v>545</v>
      </c>
    </row>
    <row r="25">
      <c r="A25" s="14" t="s">
        <v>235</v>
      </c>
      <c r="B25" s="14" t="s">
        <v>546</v>
      </c>
      <c r="C25" s="14" t="s">
        <v>547</v>
      </c>
      <c r="D25" s="21" t="s">
        <v>274</v>
      </c>
      <c r="E25" s="15"/>
    </row>
    <row r="26">
      <c r="A26" s="14" t="s">
        <v>238</v>
      </c>
      <c r="B26" s="14" t="s">
        <v>548</v>
      </c>
      <c r="C26" s="14" t="s">
        <v>549</v>
      </c>
      <c r="D26" s="21" t="s">
        <v>274</v>
      </c>
      <c r="E26" s="15"/>
    </row>
    <row r="27">
      <c r="A27" s="14" t="s">
        <v>238</v>
      </c>
      <c r="B27" s="14" t="s">
        <v>550</v>
      </c>
      <c r="C27" s="14" t="s">
        <v>551</v>
      </c>
      <c r="D27" s="21" t="s">
        <v>216</v>
      </c>
      <c r="E27" s="15"/>
    </row>
    <row r="28">
      <c r="A28" s="14" t="s">
        <v>238</v>
      </c>
      <c r="B28" s="14" t="s">
        <v>248</v>
      </c>
      <c r="C28" s="14" t="s">
        <v>552</v>
      </c>
      <c r="D28" s="21" t="s">
        <v>216</v>
      </c>
      <c r="E28" s="14" t="s">
        <v>553</v>
      </c>
    </row>
    <row r="29">
      <c r="A29" s="14" t="s">
        <v>238</v>
      </c>
      <c r="B29" s="14" t="s">
        <v>254</v>
      </c>
      <c r="C29" s="14" t="s">
        <v>554</v>
      </c>
      <c r="D29" s="21" t="s">
        <v>216</v>
      </c>
      <c r="E29" s="14" t="s">
        <v>553</v>
      </c>
    </row>
    <row r="30">
      <c r="A30" s="14" t="s">
        <v>238</v>
      </c>
      <c r="B30" s="14" t="s">
        <v>555</v>
      </c>
      <c r="C30" s="14" t="s">
        <v>556</v>
      </c>
      <c r="D30" s="21" t="s">
        <v>216</v>
      </c>
      <c r="E30" s="15"/>
    </row>
    <row r="31">
      <c r="A31" s="14" t="s">
        <v>238</v>
      </c>
      <c r="B31" s="14" t="s">
        <v>557</v>
      </c>
      <c r="C31" s="14" t="s">
        <v>558</v>
      </c>
      <c r="D31" s="21" t="s">
        <v>216</v>
      </c>
      <c r="E31" s="14" t="s">
        <v>559</v>
      </c>
    </row>
    <row r="32">
      <c r="A32" s="14" t="s">
        <v>238</v>
      </c>
      <c r="B32" s="14" t="s">
        <v>560</v>
      </c>
      <c r="C32" s="14" t="s">
        <v>561</v>
      </c>
      <c r="D32" s="21" t="s">
        <v>216</v>
      </c>
      <c r="E32" s="14" t="s">
        <v>562</v>
      </c>
    </row>
    <row r="33">
      <c r="A33" s="14" t="s">
        <v>238</v>
      </c>
      <c r="B33" s="14" t="s">
        <v>563</v>
      </c>
      <c r="C33" s="14" t="s">
        <v>564</v>
      </c>
      <c r="D33" s="21" t="s">
        <v>274</v>
      </c>
      <c r="E33" s="14" t="s">
        <v>565</v>
      </c>
    </row>
    <row r="34">
      <c r="A34" s="14" t="s">
        <v>238</v>
      </c>
      <c r="B34" s="14" t="s">
        <v>566</v>
      </c>
      <c r="C34" s="14" t="s">
        <v>567</v>
      </c>
      <c r="D34" s="21" t="s">
        <v>216</v>
      </c>
      <c r="E34" s="14" t="s">
        <v>568</v>
      </c>
    </row>
    <row r="35">
      <c r="A35" s="14" t="s">
        <v>238</v>
      </c>
      <c r="B35" s="14" t="s">
        <v>569</v>
      </c>
      <c r="C35" s="14" t="s">
        <v>570</v>
      </c>
      <c r="D35" s="21" t="s">
        <v>274</v>
      </c>
      <c r="E35" s="14" t="s">
        <v>571</v>
      </c>
    </row>
    <row r="36">
      <c r="A36" s="14" t="s">
        <v>238</v>
      </c>
      <c r="B36" s="14" t="s">
        <v>572</v>
      </c>
      <c r="C36" s="14" t="s">
        <v>573</v>
      </c>
      <c r="D36" s="21" t="s">
        <v>574</v>
      </c>
      <c r="E36" s="14" t="s">
        <v>575</v>
      </c>
    </row>
    <row r="37">
      <c r="A37" s="14" t="s">
        <v>238</v>
      </c>
      <c r="B37" s="14" t="s">
        <v>576</v>
      </c>
      <c r="C37" s="14" t="s">
        <v>577</v>
      </c>
      <c r="D37" s="21" t="s">
        <v>274</v>
      </c>
      <c r="E37" s="14" t="s">
        <v>578</v>
      </c>
    </row>
    <row r="38">
      <c r="A38" s="14" t="s">
        <v>238</v>
      </c>
      <c r="B38" s="14" t="s">
        <v>579</v>
      </c>
      <c r="C38" s="14" t="s">
        <v>580</v>
      </c>
      <c r="D38" s="21" t="s">
        <v>216</v>
      </c>
      <c r="E38" s="16" t="s">
        <v>581</v>
      </c>
    </row>
    <row r="39">
      <c r="A39" s="14" t="s">
        <v>238</v>
      </c>
      <c r="B39" s="14" t="s">
        <v>261</v>
      </c>
      <c r="C39" s="14" t="s">
        <v>582</v>
      </c>
      <c r="D39" s="21" t="s">
        <v>216</v>
      </c>
      <c r="E39" s="22"/>
    </row>
    <row r="40">
      <c r="A40" s="14" t="s">
        <v>238</v>
      </c>
      <c r="B40" s="14" t="s">
        <v>583</v>
      </c>
      <c r="C40" s="14" t="s">
        <v>584</v>
      </c>
      <c r="D40" s="21" t="s">
        <v>274</v>
      </c>
      <c r="E40" s="14" t="s">
        <v>585</v>
      </c>
    </row>
    <row r="41">
      <c r="A41" s="14" t="s">
        <v>238</v>
      </c>
      <c r="B41" s="14" t="s">
        <v>586</v>
      </c>
      <c r="C41" s="14" t="s">
        <v>587</v>
      </c>
      <c r="D41" s="23" t="s">
        <v>588</v>
      </c>
      <c r="E41" s="19" t="s">
        <v>589</v>
      </c>
    </row>
    <row r="42">
      <c r="A42" s="14" t="s">
        <v>238</v>
      </c>
      <c r="B42" s="14" t="s">
        <v>590</v>
      </c>
      <c r="C42" s="14" t="s">
        <v>591</v>
      </c>
      <c r="D42" s="21" t="s">
        <v>216</v>
      </c>
      <c r="E42" s="15"/>
    </row>
    <row r="43">
      <c r="A43" s="14" t="s">
        <v>238</v>
      </c>
      <c r="B43" s="14" t="s">
        <v>592</v>
      </c>
      <c r="C43" s="14" t="s">
        <v>593</v>
      </c>
      <c r="D43" s="21" t="s">
        <v>216</v>
      </c>
      <c r="E43" s="22"/>
    </row>
    <row r="44">
      <c r="A44" s="14" t="s">
        <v>238</v>
      </c>
      <c r="B44" s="14" t="s">
        <v>594</v>
      </c>
      <c r="C44" s="14" t="s">
        <v>595</v>
      </c>
      <c r="D44" s="21" t="s">
        <v>216</v>
      </c>
      <c r="E44" s="14" t="s">
        <v>596</v>
      </c>
    </row>
    <row r="45">
      <c r="A45" s="14" t="s">
        <v>238</v>
      </c>
      <c r="B45" s="14" t="s">
        <v>597</v>
      </c>
      <c r="C45" s="14" t="s">
        <v>598</v>
      </c>
      <c r="D45" s="21" t="s">
        <v>216</v>
      </c>
      <c r="E45" s="14" t="s">
        <v>599</v>
      </c>
    </row>
    <row r="46">
      <c r="A46" s="14" t="s">
        <v>238</v>
      </c>
      <c r="B46" s="14" t="s">
        <v>600</v>
      </c>
      <c r="C46" s="14" t="s">
        <v>601</v>
      </c>
      <c r="D46" s="21" t="s">
        <v>274</v>
      </c>
      <c r="E46" s="16" t="s">
        <v>602</v>
      </c>
    </row>
    <row r="47">
      <c r="A47" s="14" t="s">
        <v>238</v>
      </c>
      <c r="B47" s="14" t="s">
        <v>603</v>
      </c>
      <c r="C47" s="14" t="s">
        <v>604</v>
      </c>
      <c r="D47" s="21" t="s">
        <v>274</v>
      </c>
      <c r="E47" s="22"/>
    </row>
    <row r="48">
      <c r="A48" s="14" t="s">
        <v>238</v>
      </c>
      <c r="B48" s="14" t="s">
        <v>605</v>
      </c>
      <c r="C48" s="14" t="s">
        <v>525</v>
      </c>
      <c r="D48" s="21" t="s">
        <v>274</v>
      </c>
      <c r="E48" s="14" t="s">
        <v>606</v>
      </c>
    </row>
    <row r="49">
      <c r="A49" s="14" t="s">
        <v>238</v>
      </c>
      <c r="B49" s="14" t="s">
        <v>607</v>
      </c>
      <c r="C49" s="14" t="s">
        <v>608</v>
      </c>
      <c r="D49" s="21" t="s">
        <v>274</v>
      </c>
      <c r="E49" s="14" t="s">
        <v>609</v>
      </c>
    </row>
    <row r="50">
      <c r="A50" s="14" t="s">
        <v>238</v>
      </c>
      <c r="B50" s="14" t="s">
        <v>610</v>
      </c>
      <c r="C50" s="14" t="s">
        <v>611</v>
      </c>
      <c r="D50" s="21" t="s">
        <v>574</v>
      </c>
      <c r="E50" s="14" t="s">
        <v>612</v>
      </c>
    </row>
    <row r="51">
      <c r="A51" s="14" t="s">
        <v>238</v>
      </c>
      <c r="B51" s="14" t="s">
        <v>613</v>
      </c>
      <c r="C51" s="14" t="s">
        <v>614</v>
      </c>
      <c r="D51" s="21" t="s">
        <v>574</v>
      </c>
      <c r="E51" s="14" t="s">
        <v>612</v>
      </c>
    </row>
    <row r="52">
      <c r="A52" s="14" t="s">
        <v>337</v>
      </c>
      <c r="B52" s="14" t="s">
        <v>615</v>
      </c>
      <c r="C52" s="14" t="s">
        <v>616</v>
      </c>
      <c r="D52" s="21" t="s">
        <v>216</v>
      </c>
      <c r="E52" s="16" t="s">
        <v>617</v>
      </c>
    </row>
    <row r="53">
      <c r="A53" s="14" t="s">
        <v>337</v>
      </c>
      <c r="B53" s="14" t="s">
        <v>618</v>
      </c>
      <c r="C53" s="14" t="s">
        <v>149</v>
      </c>
      <c r="D53" s="21" t="s">
        <v>216</v>
      </c>
      <c r="E53" s="15"/>
    </row>
    <row r="54">
      <c r="A54" s="14" t="s">
        <v>337</v>
      </c>
      <c r="B54" s="14" t="s">
        <v>340</v>
      </c>
      <c r="C54" s="14" t="s">
        <v>619</v>
      </c>
      <c r="D54" s="21" t="s">
        <v>216</v>
      </c>
      <c r="E54" s="22"/>
    </row>
    <row r="55">
      <c r="A55" s="14" t="s">
        <v>337</v>
      </c>
      <c r="B55" s="14" t="s">
        <v>620</v>
      </c>
      <c r="C55" s="14" t="s">
        <v>621</v>
      </c>
      <c r="D55" s="21" t="s">
        <v>274</v>
      </c>
      <c r="E55" s="16" t="s">
        <v>622</v>
      </c>
    </row>
    <row r="56">
      <c r="A56" s="14" t="s">
        <v>337</v>
      </c>
      <c r="B56" s="14" t="s">
        <v>623</v>
      </c>
      <c r="C56" s="14" t="s">
        <v>624</v>
      </c>
      <c r="D56" s="21" t="s">
        <v>274</v>
      </c>
      <c r="E56" s="15"/>
    </row>
    <row r="57">
      <c r="A57" s="14" t="s">
        <v>337</v>
      </c>
      <c r="B57" s="14" t="s">
        <v>625</v>
      </c>
      <c r="C57" s="14" t="s">
        <v>626</v>
      </c>
      <c r="D57" s="21" t="s">
        <v>274</v>
      </c>
      <c r="E57" s="14" t="s">
        <v>627</v>
      </c>
    </row>
    <row r="58">
      <c r="A58" s="14" t="s">
        <v>367</v>
      </c>
      <c r="B58" s="14" t="s">
        <v>628</v>
      </c>
      <c r="C58" s="14" t="s">
        <v>629</v>
      </c>
      <c r="D58" s="21" t="s">
        <v>216</v>
      </c>
      <c r="E58" s="22"/>
    </row>
    <row r="59">
      <c r="A59" s="14" t="s">
        <v>367</v>
      </c>
      <c r="B59" s="14" t="s">
        <v>630</v>
      </c>
      <c r="C59" s="14" t="s">
        <v>631</v>
      </c>
      <c r="D59" s="21" t="s">
        <v>216</v>
      </c>
      <c r="E59" s="14" t="s">
        <v>632</v>
      </c>
    </row>
    <row r="60">
      <c r="A60" s="14" t="s">
        <v>367</v>
      </c>
      <c r="B60" s="14" t="s">
        <v>633</v>
      </c>
      <c r="C60" s="14" t="s">
        <v>634</v>
      </c>
      <c r="D60" s="21" t="s">
        <v>274</v>
      </c>
      <c r="E60" s="14" t="s">
        <v>635</v>
      </c>
    </row>
    <row r="61">
      <c r="A61" s="14" t="s">
        <v>367</v>
      </c>
      <c r="B61" s="14" t="s">
        <v>636</v>
      </c>
      <c r="C61" s="14" t="s">
        <v>637</v>
      </c>
      <c r="D61" s="21" t="s">
        <v>274</v>
      </c>
      <c r="E61" s="16" t="s">
        <v>638</v>
      </c>
    </row>
    <row r="62">
      <c r="A62" s="14" t="s">
        <v>367</v>
      </c>
      <c r="B62" s="14" t="s">
        <v>639</v>
      </c>
      <c r="C62" s="14" t="s">
        <v>640</v>
      </c>
      <c r="D62" s="21" t="s">
        <v>274</v>
      </c>
      <c r="E62" s="15"/>
    </row>
    <row r="63">
      <c r="A63" s="14" t="s">
        <v>367</v>
      </c>
      <c r="B63" s="14" t="s">
        <v>641</v>
      </c>
      <c r="C63" s="14" t="s">
        <v>642</v>
      </c>
      <c r="D63" s="21" t="s">
        <v>274</v>
      </c>
      <c r="E63" s="15"/>
    </row>
    <row r="64">
      <c r="A64" s="14" t="s">
        <v>367</v>
      </c>
      <c r="B64" s="14" t="s">
        <v>643</v>
      </c>
      <c r="C64" s="14" t="s">
        <v>644</v>
      </c>
      <c r="D64" s="21" t="s">
        <v>274</v>
      </c>
      <c r="E64" s="15"/>
    </row>
    <row r="65">
      <c r="A65" s="14" t="s">
        <v>367</v>
      </c>
      <c r="B65" s="14" t="s">
        <v>645</v>
      </c>
      <c r="C65" s="14" t="s">
        <v>646</v>
      </c>
      <c r="D65" s="21" t="s">
        <v>274</v>
      </c>
      <c r="E65" s="22"/>
    </row>
    <row r="66">
      <c r="A66" s="14" t="s">
        <v>367</v>
      </c>
      <c r="B66" s="14" t="s">
        <v>647</v>
      </c>
      <c r="C66" s="14" t="s">
        <v>648</v>
      </c>
      <c r="D66" s="21" t="s">
        <v>274</v>
      </c>
      <c r="E66" s="14" t="s">
        <v>649</v>
      </c>
    </row>
    <row r="67">
      <c r="A67" s="14" t="s">
        <v>367</v>
      </c>
      <c r="B67" s="14" t="s">
        <v>650</v>
      </c>
      <c r="C67" s="14" t="s">
        <v>651</v>
      </c>
      <c r="D67" s="21" t="s">
        <v>274</v>
      </c>
      <c r="E67" s="14" t="s">
        <v>649</v>
      </c>
    </row>
    <row r="68">
      <c r="A68" s="14" t="s">
        <v>367</v>
      </c>
      <c r="B68" s="14" t="s">
        <v>652</v>
      </c>
      <c r="C68" s="14" t="s">
        <v>653</v>
      </c>
      <c r="D68" s="21" t="s">
        <v>274</v>
      </c>
      <c r="E68" s="14" t="s">
        <v>654</v>
      </c>
    </row>
    <row r="69">
      <c r="A69" s="14" t="s">
        <v>367</v>
      </c>
      <c r="B69" s="14" t="s">
        <v>655</v>
      </c>
      <c r="C69" s="14" t="s">
        <v>656</v>
      </c>
      <c r="D69" s="21" t="s">
        <v>216</v>
      </c>
      <c r="E69" s="14" t="s">
        <v>657</v>
      </c>
    </row>
    <row r="70">
      <c r="A70" s="14" t="s">
        <v>367</v>
      </c>
      <c r="B70" s="14" t="s">
        <v>658</v>
      </c>
      <c r="C70" s="14" t="s">
        <v>659</v>
      </c>
      <c r="D70" s="24" t="s">
        <v>574</v>
      </c>
      <c r="E70" s="16" t="s">
        <v>612</v>
      </c>
    </row>
    <row r="71">
      <c r="A71" s="14" t="s">
        <v>367</v>
      </c>
      <c r="B71" s="14" t="s">
        <v>660</v>
      </c>
      <c r="C71" s="14" t="s">
        <v>661</v>
      </c>
      <c r="D71" s="22"/>
      <c r="E71" s="15"/>
    </row>
    <row r="72">
      <c r="A72" s="14" t="s">
        <v>367</v>
      </c>
      <c r="B72" s="14" t="s">
        <v>662</v>
      </c>
      <c r="C72" s="14" t="s">
        <v>663</v>
      </c>
      <c r="D72" s="21" t="s">
        <v>216</v>
      </c>
      <c r="E72" s="15"/>
    </row>
    <row r="73">
      <c r="A73" s="14" t="s">
        <v>367</v>
      </c>
      <c r="B73" s="14" t="s">
        <v>664</v>
      </c>
      <c r="C73" s="14" t="s">
        <v>665</v>
      </c>
      <c r="D73" s="21" t="s">
        <v>274</v>
      </c>
      <c r="E73" s="15"/>
    </row>
    <row r="74">
      <c r="A74" s="14" t="s">
        <v>367</v>
      </c>
      <c r="B74" s="14" t="s">
        <v>666</v>
      </c>
      <c r="C74" s="14" t="s">
        <v>667</v>
      </c>
      <c r="D74" s="24" t="s">
        <v>274</v>
      </c>
      <c r="E74" s="15"/>
    </row>
    <row r="75">
      <c r="A75" s="14" t="s">
        <v>367</v>
      </c>
      <c r="B75" s="14" t="s">
        <v>668</v>
      </c>
      <c r="C75" s="14" t="s">
        <v>669</v>
      </c>
      <c r="D75" s="22"/>
      <c r="E75" s="22"/>
    </row>
    <row r="76">
      <c r="A76" s="14" t="s">
        <v>367</v>
      </c>
      <c r="B76" s="14" t="s">
        <v>670</v>
      </c>
      <c r="C76" s="14" t="s">
        <v>671</v>
      </c>
      <c r="D76" s="24" t="s">
        <v>274</v>
      </c>
      <c r="E76" s="16" t="s">
        <v>672</v>
      </c>
    </row>
    <row r="77">
      <c r="A77" s="14" t="s">
        <v>367</v>
      </c>
      <c r="B77" s="14" t="s">
        <v>673</v>
      </c>
      <c r="C77" s="14" t="s">
        <v>674</v>
      </c>
      <c r="D77" s="24" t="s">
        <v>274</v>
      </c>
      <c r="E77" s="16" t="s">
        <v>675</v>
      </c>
    </row>
    <row r="78">
      <c r="A78" s="14" t="s">
        <v>367</v>
      </c>
      <c r="B78" s="14" t="s">
        <v>676</v>
      </c>
      <c r="C78" s="14" t="s">
        <v>677</v>
      </c>
      <c r="D78" s="21" t="s">
        <v>274</v>
      </c>
      <c r="E78" s="16" t="s">
        <v>675</v>
      </c>
    </row>
    <row r="79">
      <c r="A79" s="14" t="s">
        <v>367</v>
      </c>
      <c r="B79" s="14" t="s">
        <v>678</v>
      </c>
      <c r="C79" s="14" t="s">
        <v>679</v>
      </c>
      <c r="D79" s="21" t="s">
        <v>274</v>
      </c>
      <c r="E79" s="15"/>
    </row>
    <row r="80">
      <c r="A80" s="14" t="s">
        <v>680</v>
      </c>
      <c r="B80" s="14" t="s">
        <v>681</v>
      </c>
      <c r="C80" s="14" t="s">
        <v>682</v>
      </c>
      <c r="D80" s="21" t="s">
        <v>274</v>
      </c>
      <c r="E80" s="15"/>
    </row>
    <row r="81">
      <c r="A81" s="14" t="s">
        <v>680</v>
      </c>
      <c r="B81" s="14" t="s">
        <v>683</v>
      </c>
      <c r="C81" s="14" t="s">
        <v>684</v>
      </c>
      <c r="D81" s="21" t="s">
        <v>274</v>
      </c>
      <c r="E81" s="15"/>
    </row>
    <row r="82">
      <c r="A82" s="14" t="s">
        <v>680</v>
      </c>
      <c r="B82" s="14" t="s">
        <v>685</v>
      </c>
      <c r="C82" s="14" t="s">
        <v>686</v>
      </c>
      <c r="D82" s="21" t="s">
        <v>274</v>
      </c>
      <c r="E82" s="15"/>
    </row>
    <row r="83">
      <c r="A83" s="14" t="s">
        <v>680</v>
      </c>
      <c r="B83" s="14" t="s">
        <v>687</v>
      </c>
      <c r="C83" s="14" t="s">
        <v>179</v>
      </c>
      <c r="D83" s="21" t="s">
        <v>274</v>
      </c>
      <c r="E83" s="22"/>
    </row>
    <row r="84">
      <c r="A84" s="14" t="s">
        <v>680</v>
      </c>
      <c r="B84" s="14" t="s">
        <v>688</v>
      </c>
      <c r="C84" s="14" t="s">
        <v>689</v>
      </c>
      <c r="D84" s="21" t="s">
        <v>274</v>
      </c>
      <c r="E84" s="22"/>
    </row>
    <row r="85">
      <c r="A85" s="14" t="s">
        <v>680</v>
      </c>
      <c r="B85" s="14" t="s">
        <v>690</v>
      </c>
      <c r="C85" s="14" t="s">
        <v>691</v>
      </c>
      <c r="D85" s="21" t="s">
        <v>274</v>
      </c>
      <c r="E85" s="22"/>
    </row>
    <row r="86">
      <c r="A86" s="14" t="s">
        <v>680</v>
      </c>
      <c r="B86" s="14" t="s">
        <v>692</v>
      </c>
      <c r="C86" s="14" t="s">
        <v>693</v>
      </c>
      <c r="D86" s="21" t="s">
        <v>274</v>
      </c>
      <c r="E86" s="22"/>
    </row>
    <row r="87">
      <c r="A87" s="14" t="s">
        <v>680</v>
      </c>
      <c r="B87" s="14" t="s">
        <v>694</v>
      </c>
      <c r="C87" s="14" t="s">
        <v>695</v>
      </c>
      <c r="D87" s="21" t="s">
        <v>274</v>
      </c>
      <c r="E87" s="15"/>
    </row>
    <row r="88">
      <c r="A88" s="14" t="s">
        <v>680</v>
      </c>
      <c r="B88" s="14" t="s">
        <v>696</v>
      </c>
      <c r="C88" s="14" t="s">
        <v>697</v>
      </c>
      <c r="D88" s="21" t="s">
        <v>274</v>
      </c>
      <c r="E88" s="15"/>
    </row>
    <row r="89">
      <c r="A89" s="14" t="s">
        <v>680</v>
      </c>
      <c r="B89" s="14" t="s">
        <v>698</v>
      </c>
      <c r="C89" s="14" t="s">
        <v>699</v>
      </c>
      <c r="D89" s="21" t="s">
        <v>274</v>
      </c>
      <c r="E89" s="15"/>
    </row>
    <row r="90">
      <c r="A90" s="14" t="s">
        <v>680</v>
      </c>
      <c r="B90" s="14" t="s">
        <v>700</v>
      </c>
      <c r="C90" s="14" t="s">
        <v>701</v>
      </c>
      <c r="D90" s="21" t="s">
        <v>274</v>
      </c>
      <c r="E90" s="15"/>
    </row>
    <row r="91">
      <c r="A91" s="14" t="s">
        <v>680</v>
      </c>
      <c r="B91" s="14" t="s">
        <v>702</v>
      </c>
      <c r="C91" s="14" t="s">
        <v>525</v>
      </c>
      <c r="D91" s="21" t="s">
        <v>274</v>
      </c>
      <c r="E91" s="15"/>
    </row>
    <row r="92">
      <c r="A92" s="14" t="s">
        <v>680</v>
      </c>
      <c r="B92" s="14" t="s">
        <v>703</v>
      </c>
      <c r="C92" s="14" t="s">
        <v>704</v>
      </c>
      <c r="D92" s="21" t="s">
        <v>274</v>
      </c>
      <c r="E92" s="22"/>
    </row>
    <row r="93">
      <c r="A93" s="14" t="s">
        <v>680</v>
      </c>
      <c r="B93" s="14" t="s">
        <v>705</v>
      </c>
      <c r="C93" s="14" t="s">
        <v>706</v>
      </c>
      <c r="D93" s="21" t="s">
        <v>274</v>
      </c>
      <c r="E93" s="14" t="s">
        <v>707</v>
      </c>
    </row>
    <row r="94">
      <c r="A94" s="14" t="s">
        <v>680</v>
      </c>
      <c r="B94" s="14" t="s">
        <v>708</v>
      </c>
      <c r="C94" s="14" t="s">
        <v>525</v>
      </c>
      <c r="D94" s="21" t="s">
        <v>274</v>
      </c>
      <c r="E94" s="22"/>
    </row>
    <row r="95">
      <c r="A95" s="14" t="s">
        <v>680</v>
      </c>
      <c r="B95" s="14" t="s">
        <v>709</v>
      </c>
      <c r="C95" s="14" t="s">
        <v>710</v>
      </c>
      <c r="D95" s="21" t="s">
        <v>274</v>
      </c>
      <c r="E95" s="16" t="s">
        <v>711</v>
      </c>
    </row>
    <row r="96">
      <c r="A96" s="14" t="s">
        <v>680</v>
      </c>
      <c r="B96" s="14" t="s">
        <v>712</v>
      </c>
      <c r="C96" s="14" t="s">
        <v>713</v>
      </c>
      <c r="D96" s="21" t="s">
        <v>274</v>
      </c>
      <c r="E96" s="15"/>
    </row>
    <row r="97">
      <c r="A97" s="14" t="s">
        <v>680</v>
      </c>
      <c r="B97" s="14" t="s">
        <v>714</v>
      </c>
      <c r="C97" s="14" t="s">
        <v>715</v>
      </c>
      <c r="D97" s="21" t="s">
        <v>274</v>
      </c>
      <c r="E97" s="22"/>
    </row>
    <row r="98">
      <c r="A98" s="14" t="s">
        <v>680</v>
      </c>
      <c r="B98" s="14" t="s">
        <v>716</v>
      </c>
      <c r="C98" s="14" t="s">
        <v>717</v>
      </c>
      <c r="D98" s="21" t="s">
        <v>274</v>
      </c>
      <c r="E98" s="22"/>
    </row>
    <row r="99">
      <c r="A99" s="14" t="s">
        <v>680</v>
      </c>
      <c r="B99" s="14" t="s">
        <v>718</v>
      </c>
      <c r="C99" s="14" t="s">
        <v>719</v>
      </c>
      <c r="D99" s="21" t="s">
        <v>274</v>
      </c>
      <c r="E99" s="15"/>
    </row>
    <row r="100">
      <c r="A100" s="14" t="s">
        <v>680</v>
      </c>
      <c r="B100" s="14" t="s">
        <v>720</v>
      </c>
      <c r="C100" s="14" t="s">
        <v>721</v>
      </c>
      <c r="D100" s="21" t="s">
        <v>274</v>
      </c>
      <c r="E100" s="15"/>
    </row>
    <row r="101">
      <c r="A101" s="14" t="s">
        <v>680</v>
      </c>
      <c r="B101" s="14" t="s">
        <v>722</v>
      </c>
      <c r="C101" s="14" t="s">
        <v>723</v>
      </c>
      <c r="D101" s="21" t="s">
        <v>274</v>
      </c>
      <c r="E101" s="15"/>
    </row>
    <row r="102">
      <c r="A102" s="14" t="s">
        <v>680</v>
      </c>
      <c r="B102" s="14" t="s">
        <v>724</v>
      </c>
      <c r="C102" s="14" t="s">
        <v>725</v>
      </c>
      <c r="D102" s="21" t="s">
        <v>274</v>
      </c>
      <c r="E102" s="22"/>
    </row>
    <row r="103">
      <c r="A103" s="14" t="s">
        <v>680</v>
      </c>
      <c r="B103" s="14" t="s">
        <v>726</v>
      </c>
      <c r="C103" s="14" t="s">
        <v>727</v>
      </c>
      <c r="D103" s="21" t="s">
        <v>274</v>
      </c>
      <c r="E103" s="22"/>
    </row>
    <row r="104">
      <c r="A104" s="14" t="s">
        <v>680</v>
      </c>
      <c r="B104" s="14" t="s">
        <v>728</v>
      </c>
      <c r="C104" s="14" t="s">
        <v>729</v>
      </c>
      <c r="D104" s="21" t="s">
        <v>274</v>
      </c>
      <c r="E104" s="14" t="s">
        <v>730</v>
      </c>
    </row>
    <row r="105">
      <c r="A105" s="14" t="s">
        <v>680</v>
      </c>
      <c r="B105" s="14" t="s">
        <v>731</v>
      </c>
      <c r="C105" s="14" t="s">
        <v>732</v>
      </c>
      <c r="D105" s="21" t="s">
        <v>274</v>
      </c>
      <c r="E105" s="16" t="s">
        <v>733</v>
      </c>
    </row>
    <row r="106">
      <c r="A106" s="14" t="s">
        <v>680</v>
      </c>
      <c r="B106" s="14" t="s">
        <v>734</v>
      </c>
      <c r="C106" s="14" t="s">
        <v>735</v>
      </c>
      <c r="D106" s="21" t="s">
        <v>274</v>
      </c>
      <c r="E106" s="15"/>
    </row>
    <row r="107">
      <c r="A107" s="14" t="s">
        <v>680</v>
      </c>
      <c r="B107" s="14" t="s">
        <v>736</v>
      </c>
      <c r="C107" s="14" t="s">
        <v>737</v>
      </c>
      <c r="D107" s="21" t="s">
        <v>274</v>
      </c>
      <c r="E107" s="15"/>
    </row>
    <row r="108">
      <c r="A108" s="14" t="s">
        <v>680</v>
      </c>
      <c r="B108" s="14" t="s">
        <v>738</v>
      </c>
      <c r="C108" s="14" t="s">
        <v>739</v>
      </c>
      <c r="D108" s="21" t="s">
        <v>274</v>
      </c>
      <c r="E108" s="15"/>
    </row>
    <row r="109">
      <c r="A109" s="14" t="s">
        <v>680</v>
      </c>
      <c r="B109" s="14" t="s">
        <v>740</v>
      </c>
      <c r="C109" s="14" t="s">
        <v>741</v>
      </c>
      <c r="D109" s="21" t="s">
        <v>274</v>
      </c>
      <c r="E109" s="15"/>
    </row>
    <row r="110">
      <c r="A110" s="14" t="s">
        <v>680</v>
      </c>
      <c r="B110" s="14" t="s">
        <v>742</v>
      </c>
      <c r="C110" s="14" t="s">
        <v>743</v>
      </c>
      <c r="D110" s="21" t="s">
        <v>274</v>
      </c>
      <c r="E110" s="15"/>
    </row>
    <row r="111">
      <c r="A111" s="14" t="s">
        <v>680</v>
      </c>
      <c r="B111" s="14" t="s">
        <v>744</v>
      </c>
      <c r="C111" s="14" t="s">
        <v>745</v>
      </c>
      <c r="D111" s="21" t="s">
        <v>274</v>
      </c>
      <c r="E111" s="15"/>
    </row>
    <row r="112">
      <c r="A112" s="14" t="s">
        <v>680</v>
      </c>
      <c r="B112" s="14" t="s">
        <v>746</v>
      </c>
      <c r="C112" s="14" t="s">
        <v>747</v>
      </c>
      <c r="D112" s="21" t="s">
        <v>274</v>
      </c>
      <c r="E112" s="15"/>
    </row>
    <row r="113">
      <c r="A113" s="14" t="s">
        <v>680</v>
      </c>
      <c r="B113" s="14" t="s">
        <v>748</v>
      </c>
      <c r="C113" s="19" t="s">
        <v>749</v>
      </c>
      <c r="D113" s="21" t="s">
        <v>274</v>
      </c>
      <c r="E113" s="15"/>
    </row>
    <row r="114">
      <c r="A114" s="14" t="s">
        <v>680</v>
      </c>
      <c r="B114" s="14" t="s">
        <v>750</v>
      </c>
      <c r="C114" s="14" t="s">
        <v>751</v>
      </c>
      <c r="D114" s="21" t="s">
        <v>274</v>
      </c>
      <c r="E114" s="15"/>
    </row>
    <row r="115">
      <c r="A115" s="14" t="s">
        <v>680</v>
      </c>
      <c r="B115" s="14" t="s">
        <v>752</v>
      </c>
      <c r="C115" s="14" t="s">
        <v>753</v>
      </c>
      <c r="D115" s="22"/>
      <c r="E115" s="15"/>
    </row>
    <row r="116">
      <c r="A116" s="14" t="s">
        <v>680</v>
      </c>
      <c r="B116" s="14" t="s">
        <v>754</v>
      </c>
      <c r="C116" s="14" t="s">
        <v>755</v>
      </c>
      <c r="D116" s="22"/>
      <c r="E116" s="15"/>
    </row>
    <row r="117">
      <c r="A117" s="14" t="s">
        <v>680</v>
      </c>
      <c r="B117" s="14" t="s">
        <v>756</v>
      </c>
      <c r="C117" s="14" t="s">
        <v>757</v>
      </c>
      <c r="D117" s="22"/>
      <c r="E117" s="1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62.75"/>
    <col customWidth="1" min="3" max="3" width="75.88"/>
    <col customWidth="1" min="4" max="4" width="15.63"/>
    <col customWidth="1" min="5" max="5" width="68.63"/>
  </cols>
  <sheetData>
    <row r="1">
      <c r="A1" s="20" t="s">
        <v>210</v>
      </c>
      <c r="B1" s="20" t="s">
        <v>495</v>
      </c>
      <c r="C1" s="20" t="s">
        <v>19</v>
      </c>
      <c r="D1" s="20" t="s">
        <v>212</v>
      </c>
      <c r="E1" s="20" t="s">
        <v>20</v>
      </c>
    </row>
    <row r="2">
      <c r="A2" s="14" t="s">
        <v>213</v>
      </c>
      <c r="B2" s="14" t="s">
        <v>388</v>
      </c>
      <c r="C2" s="14" t="s">
        <v>758</v>
      </c>
      <c r="D2" s="24" t="s">
        <v>216</v>
      </c>
      <c r="E2" s="15"/>
    </row>
    <row r="3">
      <c r="A3" s="14" t="s">
        <v>213</v>
      </c>
      <c r="B3" s="14" t="s">
        <v>390</v>
      </c>
      <c r="C3" s="14" t="s">
        <v>759</v>
      </c>
      <c r="D3" s="24" t="s">
        <v>216</v>
      </c>
      <c r="E3" s="15"/>
    </row>
    <row r="4">
      <c r="A4" s="14" t="s">
        <v>213</v>
      </c>
      <c r="B4" s="14" t="s">
        <v>392</v>
      </c>
      <c r="C4" s="14" t="s">
        <v>760</v>
      </c>
      <c r="D4" s="24" t="s">
        <v>216</v>
      </c>
      <c r="E4" s="15"/>
    </row>
    <row r="5">
      <c r="A5" s="14" t="s">
        <v>517</v>
      </c>
      <c r="B5" s="14" t="s">
        <v>761</v>
      </c>
      <c r="C5" s="14" t="s">
        <v>762</v>
      </c>
      <c r="D5" s="24" t="s">
        <v>216</v>
      </c>
      <c r="E5" s="14" t="s">
        <v>763</v>
      </c>
    </row>
    <row r="6">
      <c r="A6" s="14" t="s">
        <v>235</v>
      </c>
      <c r="B6" s="14" t="s">
        <v>764</v>
      </c>
      <c r="C6" s="14" t="s">
        <v>765</v>
      </c>
      <c r="D6" s="24" t="s">
        <v>274</v>
      </c>
      <c r="E6" s="15"/>
    </row>
    <row r="7">
      <c r="A7" s="14" t="s">
        <v>235</v>
      </c>
      <c r="B7" s="14" t="s">
        <v>766</v>
      </c>
      <c r="C7" s="14" t="s">
        <v>767</v>
      </c>
      <c r="D7" s="24" t="s">
        <v>274</v>
      </c>
      <c r="E7" s="15"/>
    </row>
    <row r="8">
      <c r="A8" s="14" t="s">
        <v>235</v>
      </c>
      <c r="B8" s="14" t="s">
        <v>768</v>
      </c>
      <c r="C8" s="14" t="s">
        <v>769</v>
      </c>
      <c r="D8" s="24" t="s">
        <v>274</v>
      </c>
      <c r="E8" s="15"/>
    </row>
    <row r="9">
      <c r="A9" s="14" t="s">
        <v>235</v>
      </c>
      <c r="B9" s="14" t="s">
        <v>770</v>
      </c>
      <c r="C9" s="14" t="s">
        <v>771</v>
      </c>
      <c r="D9" s="24" t="s">
        <v>274</v>
      </c>
      <c r="E9" s="15"/>
    </row>
    <row r="10">
      <c r="A10" s="14" t="s">
        <v>235</v>
      </c>
      <c r="B10" s="14" t="s">
        <v>772</v>
      </c>
      <c r="C10" s="14" t="s">
        <v>773</v>
      </c>
      <c r="D10" s="24" t="s">
        <v>274</v>
      </c>
      <c r="E10" s="14" t="s">
        <v>774</v>
      </c>
    </row>
    <row r="11">
      <c r="A11" s="14" t="s">
        <v>238</v>
      </c>
      <c r="B11" s="14" t="s">
        <v>775</v>
      </c>
      <c r="C11" s="14" t="s">
        <v>776</v>
      </c>
      <c r="D11" s="21" t="s">
        <v>216</v>
      </c>
      <c r="E11" s="15"/>
    </row>
    <row r="12">
      <c r="A12" s="14" t="s">
        <v>238</v>
      </c>
      <c r="B12" s="14" t="s">
        <v>777</v>
      </c>
      <c r="C12" s="14" t="s">
        <v>778</v>
      </c>
      <c r="D12" s="21" t="s">
        <v>216</v>
      </c>
      <c r="E12" s="15"/>
    </row>
    <row r="13">
      <c r="A13" s="14" t="s">
        <v>238</v>
      </c>
      <c r="B13" s="14" t="s">
        <v>779</v>
      </c>
      <c r="C13" s="14" t="s">
        <v>780</v>
      </c>
      <c r="D13" s="24" t="s">
        <v>216</v>
      </c>
      <c r="E13" s="14" t="s">
        <v>781</v>
      </c>
    </row>
    <row r="14">
      <c r="A14" s="14" t="s">
        <v>238</v>
      </c>
      <c r="B14" s="14" t="s">
        <v>782</v>
      </c>
      <c r="C14" s="14" t="s">
        <v>783</v>
      </c>
      <c r="D14" s="24" t="s">
        <v>274</v>
      </c>
      <c r="E14" s="16" t="s">
        <v>784</v>
      </c>
    </row>
    <row r="15">
      <c r="A15" s="14" t="s">
        <v>238</v>
      </c>
      <c r="B15" s="14" t="s">
        <v>785</v>
      </c>
      <c r="C15" s="14" t="s">
        <v>786</v>
      </c>
      <c r="D15" s="24" t="s">
        <v>274</v>
      </c>
      <c r="E15" s="16" t="s">
        <v>784</v>
      </c>
    </row>
    <row r="16">
      <c r="A16" s="14" t="s">
        <v>238</v>
      </c>
      <c r="B16" s="14" t="s">
        <v>787</v>
      </c>
      <c r="C16" s="14" t="s">
        <v>788</v>
      </c>
      <c r="D16" s="24" t="s">
        <v>274</v>
      </c>
      <c r="E16" s="43" t="s">
        <v>789</v>
      </c>
    </row>
    <row r="17">
      <c r="A17" s="14" t="s">
        <v>238</v>
      </c>
      <c r="B17" s="14" t="s">
        <v>790</v>
      </c>
      <c r="C17" s="19" t="s">
        <v>791</v>
      </c>
      <c r="D17" s="24" t="s">
        <v>216</v>
      </c>
      <c r="E17" s="15"/>
    </row>
    <row r="18">
      <c r="A18" s="14" t="s">
        <v>238</v>
      </c>
      <c r="B18" s="14" t="s">
        <v>792</v>
      </c>
      <c r="C18" s="14" t="s">
        <v>793</v>
      </c>
      <c r="D18" s="24" t="s">
        <v>216</v>
      </c>
      <c r="E18" s="15"/>
    </row>
    <row r="19">
      <c r="A19" s="14" t="s">
        <v>238</v>
      </c>
      <c r="B19" s="14" t="s">
        <v>794</v>
      </c>
      <c r="C19" s="14" t="s">
        <v>795</v>
      </c>
      <c r="D19" s="21" t="s">
        <v>274</v>
      </c>
      <c r="E19" s="43" t="s">
        <v>789</v>
      </c>
    </row>
    <row r="20">
      <c r="A20" s="14" t="s">
        <v>238</v>
      </c>
      <c r="B20" s="14" t="s">
        <v>796</v>
      </c>
      <c r="C20" s="14" t="s">
        <v>797</v>
      </c>
      <c r="D20" s="21" t="s">
        <v>274</v>
      </c>
      <c r="E20" s="43" t="s">
        <v>789</v>
      </c>
    </row>
    <row r="21">
      <c r="A21" s="14" t="s">
        <v>238</v>
      </c>
      <c r="B21" s="14" t="s">
        <v>798</v>
      </c>
      <c r="C21" s="14" t="s">
        <v>799</v>
      </c>
      <c r="D21" s="21" t="s">
        <v>274</v>
      </c>
      <c r="E21" s="43" t="s">
        <v>789</v>
      </c>
    </row>
    <row r="22">
      <c r="A22" s="14" t="s">
        <v>238</v>
      </c>
      <c r="B22" s="14" t="s">
        <v>800</v>
      </c>
      <c r="C22" s="14" t="s">
        <v>801</v>
      </c>
      <c r="D22" s="24" t="s">
        <v>216</v>
      </c>
      <c r="E22" s="15"/>
    </row>
    <row r="23">
      <c r="A23" s="14" t="s">
        <v>238</v>
      </c>
      <c r="B23" s="14" t="s">
        <v>802</v>
      </c>
      <c r="C23" s="14" t="s">
        <v>803</v>
      </c>
      <c r="D23" s="24" t="s">
        <v>216</v>
      </c>
      <c r="E23" s="14" t="s">
        <v>804</v>
      </c>
    </row>
    <row r="24">
      <c r="A24" s="14" t="s">
        <v>337</v>
      </c>
      <c r="B24" s="14" t="s">
        <v>805</v>
      </c>
      <c r="C24" s="14" t="s">
        <v>806</v>
      </c>
      <c r="D24" s="24" t="s">
        <v>216</v>
      </c>
      <c r="E24" s="15"/>
    </row>
    <row r="25">
      <c r="A25" s="14" t="s">
        <v>337</v>
      </c>
      <c r="B25" s="14" t="s">
        <v>807</v>
      </c>
      <c r="C25" s="14" t="s">
        <v>808</v>
      </c>
      <c r="D25" s="24" t="s">
        <v>216</v>
      </c>
      <c r="E25" s="15"/>
    </row>
    <row r="26">
      <c r="A26" s="14" t="s">
        <v>337</v>
      </c>
      <c r="B26" s="14" t="s">
        <v>809</v>
      </c>
      <c r="C26" s="14" t="s">
        <v>810</v>
      </c>
      <c r="D26" s="24" t="s">
        <v>216</v>
      </c>
      <c r="E26" s="15"/>
    </row>
    <row r="27">
      <c r="A27" s="14" t="s">
        <v>337</v>
      </c>
      <c r="B27" s="14" t="s">
        <v>811</v>
      </c>
      <c r="C27" s="14" t="s">
        <v>812</v>
      </c>
      <c r="D27" s="24" t="s">
        <v>216</v>
      </c>
      <c r="E27" s="15"/>
    </row>
    <row r="28">
      <c r="A28" s="14" t="s">
        <v>367</v>
      </c>
      <c r="B28" s="14" t="s">
        <v>813</v>
      </c>
      <c r="C28" s="14" t="s">
        <v>814</v>
      </c>
      <c r="D28" s="24" t="s">
        <v>274</v>
      </c>
      <c r="E28" s="43" t="s">
        <v>815</v>
      </c>
    </row>
    <row r="29">
      <c r="A29" s="14" t="s">
        <v>367</v>
      </c>
      <c r="B29" s="14" t="s">
        <v>816</v>
      </c>
      <c r="C29" s="14" t="s">
        <v>817</v>
      </c>
      <c r="D29" s="24" t="s">
        <v>274</v>
      </c>
      <c r="E29" s="16" t="s">
        <v>784</v>
      </c>
    </row>
    <row r="30">
      <c r="A30" s="14" t="s">
        <v>367</v>
      </c>
      <c r="B30" s="14" t="s">
        <v>818</v>
      </c>
      <c r="C30" s="14" t="s">
        <v>819</v>
      </c>
      <c r="D30" s="24" t="s">
        <v>274</v>
      </c>
      <c r="E30" s="42" t="s">
        <v>789</v>
      </c>
    </row>
    <row r="31">
      <c r="A31" s="14" t="s">
        <v>367</v>
      </c>
      <c r="B31" s="14" t="s">
        <v>443</v>
      </c>
      <c r="C31" s="14" t="s">
        <v>820</v>
      </c>
      <c r="D31" s="24" t="s">
        <v>216</v>
      </c>
      <c r="E31" s="15"/>
    </row>
    <row r="32">
      <c r="A32" s="14" t="s">
        <v>680</v>
      </c>
      <c r="B32" s="14" t="s">
        <v>821</v>
      </c>
      <c r="C32" s="14" t="s">
        <v>822</v>
      </c>
      <c r="D32" s="21" t="s">
        <v>274</v>
      </c>
      <c r="E32" s="15"/>
    </row>
    <row r="33">
      <c r="A33" s="14" t="s">
        <v>680</v>
      </c>
      <c r="B33" s="14" t="s">
        <v>823</v>
      </c>
      <c r="C33" s="14" t="s">
        <v>824</v>
      </c>
      <c r="D33" s="24" t="s">
        <v>274</v>
      </c>
      <c r="E33" s="15"/>
    </row>
    <row r="34">
      <c r="A34" s="14" t="s">
        <v>680</v>
      </c>
      <c r="B34" s="14" t="s">
        <v>825</v>
      </c>
      <c r="C34" s="14" t="s">
        <v>826</v>
      </c>
      <c r="D34" s="24" t="s">
        <v>274</v>
      </c>
      <c r="E34" s="16" t="s">
        <v>827</v>
      </c>
    </row>
    <row r="35">
      <c r="A35" s="14" t="s">
        <v>680</v>
      </c>
      <c r="B35" s="14" t="s">
        <v>828</v>
      </c>
      <c r="C35" s="14" t="s">
        <v>829</v>
      </c>
      <c r="D35" s="24" t="s">
        <v>274</v>
      </c>
      <c r="E35" s="14" t="s">
        <v>830</v>
      </c>
    </row>
    <row r="36">
      <c r="A36" s="14" t="s">
        <v>680</v>
      </c>
      <c r="B36" s="14" t="s">
        <v>831</v>
      </c>
      <c r="C36" s="14" t="s">
        <v>832</v>
      </c>
      <c r="D36" s="24" t="s">
        <v>274</v>
      </c>
      <c r="E36" s="15"/>
    </row>
    <row r="37">
      <c r="A37" s="14" t="s">
        <v>680</v>
      </c>
      <c r="B37" s="14" t="s">
        <v>833</v>
      </c>
      <c r="C37" s="19" t="s">
        <v>834</v>
      </c>
      <c r="D37" s="24" t="s">
        <v>274</v>
      </c>
      <c r="E37" s="15"/>
    </row>
    <row r="38">
      <c r="A38" s="14" t="s">
        <v>680</v>
      </c>
      <c r="B38" s="14" t="s">
        <v>835</v>
      </c>
      <c r="C38" s="14" t="s">
        <v>836</v>
      </c>
      <c r="D38" s="24" t="s">
        <v>274</v>
      </c>
      <c r="E38" s="15"/>
    </row>
    <row r="39">
      <c r="A39" s="14" t="s">
        <v>680</v>
      </c>
      <c r="B39" s="14" t="s">
        <v>837</v>
      </c>
      <c r="C39" s="14" t="s">
        <v>838</v>
      </c>
      <c r="D39" s="24" t="s">
        <v>274</v>
      </c>
      <c r="E39" s="15"/>
    </row>
    <row r="40">
      <c r="A40" s="14" t="s">
        <v>680</v>
      </c>
      <c r="B40" s="14" t="s">
        <v>839</v>
      </c>
      <c r="C40" s="14" t="s">
        <v>840</v>
      </c>
      <c r="D40" s="24" t="s">
        <v>274</v>
      </c>
      <c r="E40" s="22"/>
    </row>
    <row r="41">
      <c r="A41" s="14" t="s">
        <v>680</v>
      </c>
      <c r="B41" s="14" t="s">
        <v>841</v>
      </c>
      <c r="C41" s="14" t="s">
        <v>842</v>
      </c>
      <c r="D41" s="24" t="s">
        <v>274</v>
      </c>
      <c r="E41" s="15"/>
    </row>
    <row r="42">
      <c r="A42" s="14" t="s">
        <v>680</v>
      </c>
      <c r="B42" s="14" t="s">
        <v>843</v>
      </c>
      <c r="C42" s="14" t="s">
        <v>844</v>
      </c>
      <c r="D42" s="24" t="s">
        <v>274</v>
      </c>
      <c r="E42" s="14" t="s">
        <v>845</v>
      </c>
    </row>
    <row r="43">
      <c r="A43" s="14" t="s">
        <v>680</v>
      </c>
      <c r="B43" s="14" t="s">
        <v>846</v>
      </c>
      <c r="C43" s="14" t="s">
        <v>847</v>
      </c>
      <c r="D43" s="24" t="s">
        <v>274</v>
      </c>
      <c r="E43" s="22"/>
    </row>
    <row r="44">
      <c r="A44" s="14" t="s">
        <v>680</v>
      </c>
      <c r="B44" s="14" t="s">
        <v>848</v>
      </c>
      <c r="C44" s="14" t="s">
        <v>849</v>
      </c>
      <c r="D44" s="24" t="s">
        <v>274</v>
      </c>
      <c r="E44" s="42" t="s">
        <v>850</v>
      </c>
    </row>
    <row r="45">
      <c r="A45" s="14" t="s">
        <v>680</v>
      </c>
      <c r="B45" s="14" t="s">
        <v>851</v>
      </c>
      <c r="C45" s="14" t="s">
        <v>852</v>
      </c>
      <c r="D45" s="24" t="s">
        <v>274</v>
      </c>
      <c r="E45" s="42" t="s">
        <v>853</v>
      </c>
    </row>
    <row r="46">
      <c r="A46" s="14" t="s">
        <v>680</v>
      </c>
      <c r="B46" s="14" t="s">
        <v>854</v>
      </c>
      <c r="C46" s="14" t="s">
        <v>855</v>
      </c>
      <c r="D46" s="24" t="s">
        <v>274</v>
      </c>
      <c r="E46" s="42" t="s">
        <v>856</v>
      </c>
    </row>
    <row r="47">
      <c r="A47" s="14" t="s">
        <v>680</v>
      </c>
      <c r="B47" s="14" t="s">
        <v>857</v>
      </c>
      <c r="C47" s="14" t="s">
        <v>858</v>
      </c>
      <c r="D47" s="24" t="s">
        <v>274</v>
      </c>
      <c r="E47" s="42" t="s">
        <v>859</v>
      </c>
    </row>
    <row r="48">
      <c r="A48" s="14" t="s">
        <v>680</v>
      </c>
      <c r="B48" s="14" t="s">
        <v>860</v>
      </c>
      <c r="C48" s="14" t="s">
        <v>861</v>
      </c>
      <c r="D48" s="24" t="s">
        <v>274</v>
      </c>
      <c r="E48" s="42" t="s">
        <v>862</v>
      </c>
    </row>
    <row r="49">
      <c r="A49" s="14" t="s">
        <v>680</v>
      </c>
      <c r="B49" s="14" t="s">
        <v>863</v>
      </c>
      <c r="C49" s="16" t="s">
        <v>864</v>
      </c>
      <c r="D49" s="24" t="s">
        <v>274</v>
      </c>
      <c r="E49" s="42" t="s">
        <v>865</v>
      </c>
    </row>
    <row r="50">
      <c r="A50" s="14" t="s">
        <v>680</v>
      </c>
      <c r="B50" s="14" t="s">
        <v>866</v>
      </c>
      <c r="C50" s="14" t="s">
        <v>867</v>
      </c>
      <c r="D50" s="24" t="s">
        <v>274</v>
      </c>
      <c r="E50" s="42" t="s">
        <v>868</v>
      </c>
    </row>
    <row r="51">
      <c r="A51" s="14" t="s">
        <v>680</v>
      </c>
      <c r="B51" s="14" t="s">
        <v>869</v>
      </c>
      <c r="C51" s="14" t="s">
        <v>870</v>
      </c>
      <c r="D51" s="24" t="s">
        <v>274</v>
      </c>
      <c r="E51" s="43" t="s">
        <v>871</v>
      </c>
    </row>
    <row r="52">
      <c r="A52" s="14" t="s">
        <v>680</v>
      </c>
      <c r="B52" s="14" t="s">
        <v>872</v>
      </c>
      <c r="C52" s="14" t="s">
        <v>873</v>
      </c>
      <c r="D52" s="24" t="s">
        <v>274</v>
      </c>
      <c r="E52" s="42" t="s">
        <v>874</v>
      </c>
    </row>
    <row r="53">
      <c r="A53" s="14" t="s">
        <v>680</v>
      </c>
      <c r="B53" s="14" t="s">
        <v>875</v>
      </c>
      <c r="C53" s="14" t="s">
        <v>876</v>
      </c>
      <c r="D53" s="24" t="s">
        <v>274</v>
      </c>
      <c r="E53" s="22"/>
    </row>
    <row r="54">
      <c r="A54" s="14" t="s">
        <v>680</v>
      </c>
      <c r="B54" s="14" t="s">
        <v>877</v>
      </c>
      <c r="C54" s="14" t="s">
        <v>878</v>
      </c>
      <c r="D54" s="24" t="s">
        <v>274</v>
      </c>
      <c r="E54" s="42" t="s">
        <v>879</v>
      </c>
    </row>
    <row r="55">
      <c r="A55" s="14" t="s">
        <v>680</v>
      </c>
      <c r="B55" s="14" t="s">
        <v>880</v>
      </c>
      <c r="C55" s="14" t="s">
        <v>881</v>
      </c>
      <c r="D55" s="24" t="s">
        <v>274</v>
      </c>
      <c r="E55" s="42" t="s">
        <v>882</v>
      </c>
    </row>
    <row r="56">
      <c r="A56" s="14" t="s">
        <v>680</v>
      </c>
      <c r="B56" s="14" t="s">
        <v>883</v>
      </c>
      <c r="C56" s="14" t="s">
        <v>884</v>
      </c>
      <c r="D56" s="24" t="s">
        <v>274</v>
      </c>
      <c r="E56" s="42" t="s">
        <v>859</v>
      </c>
    </row>
    <row r="57">
      <c r="A57" s="14" t="s">
        <v>680</v>
      </c>
      <c r="B57" s="14" t="s">
        <v>885</v>
      </c>
      <c r="C57" s="14" t="s">
        <v>886</v>
      </c>
      <c r="D57" s="24" t="s">
        <v>274</v>
      </c>
      <c r="E57" s="43" t="s">
        <v>887</v>
      </c>
    </row>
    <row r="58">
      <c r="A58" s="14" t="s">
        <v>680</v>
      </c>
      <c r="B58" s="14" t="s">
        <v>888</v>
      </c>
      <c r="C58" s="14" t="s">
        <v>889</v>
      </c>
      <c r="D58" s="24" t="s">
        <v>274</v>
      </c>
      <c r="E58" s="15"/>
    </row>
    <row r="59">
      <c r="A59" s="14" t="s">
        <v>680</v>
      </c>
      <c r="B59" s="14" t="s">
        <v>890</v>
      </c>
      <c r="C59" s="14" t="s">
        <v>891</v>
      </c>
      <c r="D59" s="24" t="s">
        <v>274</v>
      </c>
      <c r="E59" s="15"/>
    </row>
    <row r="60">
      <c r="A60" s="14" t="s">
        <v>680</v>
      </c>
      <c r="B60" s="14" t="s">
        <v>892</v>
      </c>
      <c r="C60" s="14" t="s">
        <v>893</v>
      </c>
      <c r="D60" s="24" t="s">
        <v>274</v>
      </c>
      <c r="E60" s="15"/>
    </row>
    <row r="61">
      <c r="A61" s="14" t="s">
        <v>680</v>
      </c>
      <c r="B61" s="14" t="s">
        <v>894</v>
      </c>
      <c r="C61" s="14" t="s">
        <v>895</v>
      </c>
      <c r="D61" s="24" t="s">
        <v>274</v>
      </c>
      <c r="E61" s="22"/>
    </row>
    <row r="62">
      <c r="A62" s="14" t="s">
        <v>449</v>
      </c>
      <c r="B62" s="14" t="s">
        <v>896</v>
      </c>
      <c r="C62" s="14" t="s">
        <v>897</v>
      </c>
      <c r="D62" s="24" t="s">
        <v>216</v>
      </c>
      <c r="E62" s="16" t="s">
        <v>898</v>
      </c>
    </row>
    <row r="63">
      <c r="A63" s="14" t="s">
        <v>449</v>
      </c>
      <c r="B63" s="14" t="s">
        <v>899</v>
      </c>
      <c r="C63" s="14" t="s">
        <v>900</v>
      </c>
      <c r="D63" s="24" t="s">
        <v>216</v>
      </c>
      <c r="E63" s="15"/>
    </row>
    <row r="64">
      <c r="A64" s="14" t="s">
        <v>449</v>
      </c>
      <c r="B64" s="14" t="s">
        <v>901</v>
      </c>
      <c r="C64" s="14" t="s">
        <v>902</v>
      </c>
      <c r="D64" s="24" t="s">
        <v>216</v>
      </c>
      <c r="E64" s="22"/>
    </row>
    <row r="65">
      <c r="A65" s="14" t="s">
        <v>449</v>
      </c>
      <c r="B65" s="14" t="s">
        <v>903</v>
      </c>
      <c r="C65" s="14" t="s">
        <v>904</v>
      </c>
      <c r="D65" s="24" t="s">
        <v>216</v>
      </c>
      <c r="E65" s="15"/>
    </row>
    <row r="66">
      <c r="A66" s="14" t="s">
        <v>449</v>
      </c>
      <c r="B66" s="14" t="s">
        <v>905</v>
      </c>
      <c r="C66" s="14" t="s">
        <v>906</v>
      </c>
      <c r="D66" s="24" t="s">
        <v>216</v>
      </c>
      <c r="E66" s="15"/>
    </row>
    <row r="67">
      <c r="A67" s="14" t="s">
        <v>449</v>
      </c>
      <c r="B67" s="14" t="s">
        <v>907</v>
      </c>
      <c r="C67" s="14" t="s">
        <v>908</v>
      </c>
      <c r="D67" s="24" t="s">
        <v>216</v>
      </c>
      <c r="E67" s="43" t="s">
        <v>909</v>
      </c>
    </row>
    <row r="68">
      <c r="A68" s="14" t="s">
        <v>449</v>
      </c>
      <c r="B68" s="14" t="s">
        <v>910</v>
      </c>
      <c r="C68" s="14" t="s">
        <v>911</v>
      </c>
      <c r="D68" s="24" t="s">
        <v>216</v>
      </c>
      <c r="E68" s="15"/>
    </row>
    <row r="69">
      <c r="A69" s="14" t="s">
        <v>449</v>
      </c>
      <c r="B69" s="14" t="s">
        <v>487</v>
      </c>
      <c r="C69" s="14" t="s">
        <v>912</v>
      </c>
      <c r="D69" s="24" t="s">
        <v>216</v>
      </c>
      <c r="E69" s="15"/>
    </row>
    <row r="70">
      <c r="A70" s="14" t="s">
        <v>449</v>
      </c>
      <c r="B70" s="14" t="s">
        <v>913</v>
      </c>
      <c r="C70" s="14" t="s">
        <v>914</v>
      </c>
      <c r="D70" s="24" t="s">
        <v>216</v>
      </c>
      <c r="E70" s="16" t="s">
        <v>915</v>
      </c>
    </row>
    <row r="71">
      <c r="A71" s="14" t="s">
        <v>449</v>
      </c>
      <c r="B71" s="14" t="s">
        <v>483</v>
      </c>
      <c r="C71" s="14" t="s">
        <v>916</v>
      </c>
      <c r="D71" s="24" t="s">
        <v>216</v>
      </c>
      <c r="E71" s="22"/>
    </row>
    <row r="72">
      <c r="A72" s="14" t="s">
        <v>449</v>
      </c>
      <c r="B72" s="14" t="s">
        <v>489</v>
      </c>
      <c r="C72" s="14" t="s">
        <v>917</v>
      </c>
      <c r="D72" s="24" t="s">
        <v>216</v>
      </c>
      <c r="E72" s="22"/>
    </row>
    <row r="73">
      <c r="A73" s="14" t="s">
        <v>449</v>
      </c>
      <c r="B73" s="14" t="s">
        <v>471</v>
      </c>
      <c r="C73" s="14" t="s">
        <v>918</v>
      </c>
      <c r="D73" s="24" t="s">
        <v>216</v>
      </c>
      <c r="E73" s="22"/>
    </row>
    <row r="74">
      <c r="A74" s="14" t="s">
        <v>449</v>
      </c>
      <c r="B74" s="14" t="s">
        <v>473</v>
      </c>
      <c r="C74" s="14" t="s">
        <v>919</v>
      </c>
      <c r="D74" s="24" t="s">
        <v>216</v>
      </c>
      <c r="E74" s="22"/>
    </row>
    <row r="75">
      <c r="A75" s="14" t="s">
        <v>449</v>
      </c>
      <c r="B75" s="14" t="s">
        <v>475</v>
      </c>
      <c r="C75" s="14" t="s">
        <v>920</v>
      </c>
      <c r="D75" s="24" t="s">
        <v>216</v>
      </c>
      <c r="E75" s="22"/>
    </row>
    <row r="76">
      <c r="A76" s="14" t="s">
        <v>449</v>
      </c>
      <c r="B76" s="14" t="s">
        <v>460</v>
      </c>
      <c r="C76" s="14" t="s">
        <v>921</v>
      </c>
      <c r="D76" s="24" t="s">
        <v>216</v>
      </c>
      <c r="E76" s="22"/>
    </row>
    <row r="77">
      <c r="A77" s="14" t="s">
        <v>449</v>
      </c>
      <c r="B77" s="14" t="s">
        <v>491</v>
      </c>
      <c r="C77" s="14" t="s">
        <v>922</v>
      </c>
      <c r="D77" s="24" t="s">
        <v>216</v>
      </c>
      <c r="E77" s="14" t="s">
        <v>923</v>
      </c>
    </row>
    <row r="78">
      <c r="A78" s="14" t="s">
        <v>449</v>
      </c>
      <c r="B78" s="14" t="s">
        <v>493</v>
      </c>
      <c r="C78" s="14" t="s">
        <v>924</v>
      </c>
      <c r="D78" s="24" t="s">
        <v>216</v>
      </c>
      <c r="E78" s="14" t="s">
        <v>923</v>
      </c>
    </row>
    <row r="79">
      <c r="A79" s="14" t="s">
        <v>449</v>
      </c>
      <c r="B79" s="14" t="s">
        <v>456</v>
      </c>
      <c r="C79" s="14" t="s">
        <v>925</v>
      </c>
      <c r="D79" s="24" t="s">
        <v>216</v>
      </c>
      <c r="E79" s="2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34.75"/>
    <col customWidth="1" min="3" max="3" width="70.13"/>
    <col customWidth="1" min="4" max="4" width="81.0"/>
    <col customWidth="1" min="5" max="5" width="15.63"/>
    <col customWidth="1" min="6" max="6" width="78.88"/>
  </cols>
  <sheetData>
    <row r="1">
      <c r="A1" s="20" t="s">
        <v>210</v>
      </c>
      <c r="B1" s="20" t="s">
        <v>926</v>
      </c>
      <c r="C1" s="20" t="s">
        <v>211</v>
      </c>
      <c r="D1" s="20" t="s">
        <v>19</v>
      </c>
      <c r="E1" s="20" t="s">
        <v>212</v>
      </c>
      <c r="F1" s="44" t="s">
        <v>20</v>
      </c>
    </row>
    <row r="2">
      <c r="A2" s="14" t="s">
        <v>213</v>
      </c>
      <c r="B2" s="14" t="s">
        <v>388</v>
      </c>
      <c r="C2" s="14" t="s">
        <v>927</v>
      </c>
      <c r="D2" s="14" t="s">
        <v>928</v>
      </c>
      <c r="E2" s="24" t="s">
        <v>216</v>
      </c>
      <c r="F2" s="15"/>
    </row>
    <row r="3">
      <c r="A3" s="14" t="s">
        <v>213</v>
      </c>
      <c r="B3" s="14" t="s">
        <v>390</v>
      </c>
      <c r="C3" s="14" t="s">
        <v>929</v>
      </c>
      <c r="D3" s="14" t="s">
        <v>930</v>
      </c>
      <c r="E3" s="24" t="s">
        <v>216</v>
      </c>
      <c r="F3" s="15"/>
    </row>
    <row r="4">
      <c r="A4" s="14" t="s">
        <v>213</v>
      </c>
      <c r="B4" s="14" t="s">
        <v>931</v>
      </c>
      <c r="C4" s="14" t="s">
        <v>932</v>
      </c>
      <c r="D4" s="14" t="s">
        <v>933</v>
      </c>
      <c r="E4" s="24" t="s">
        <v>216</v>
      </c>
      <c r="F4" s="15"/>
    </row>
    <row r="5">
      <c r="A5" s="14" t="s">
        <v>213</v>
      </c>
      <c r="B5" s="14" t="s">
        <v>392</v>
      </c>
      <c r="C5" s="14" t="s">
        <v>934</v>
      </c>
      <c r="D5" s="14" t="s">
        <v>935</v>
      </c>
      <c r="E5" s="24" t="s">
        <v>216</v>
      </c>
      <c r="F5" s="15"/>
    </row>
    <row r="6">
      <c r="A6" s="14" t="s">
        <v>235</v>
      </c>
      <c r="B6" s="14" t="s">
        <v>394</v>
      </c>
      <c r="C6" s="14" t="s">
        <v>936</v>
      </c>
      <c r="D6" s="14" t="s">
        <v>937</v>
      </c>
      <c r="E6" s="24" t="s">
        <v>216</v>
      </c>
      <c r="F6" s="15"/>
    </row>
    <row r="7">
      <c r="A7" s="14" t="s">
        <v>235</v>
      </c>
      <c r="B7" s="14" t="s">
        <v>938</v>
      </c>
      <c r="C7" s="14" t="s">
        <v>939</v>
      </c>
      <c r="D7" s="14" t="s">
        <v>940</v>
      </c>
      <c r="E7" s="24" t="s">
        <v>274</v>
      </c>
      <c r="F7" s="15"/>
    </row>
    <row r="8">
      <c r="A8" s="14" t="s">
        <v>238</v>
      </c>
      <c r="B8" s="14" t="s">
        <v>941</v>
      </c>
      <c r="C8" s="14" t="s">
        <v>942</v>
      </c>
      <c r="D8" s="14" t="s">
        <v>943</v>
      </c>
      <c r="E8" s="24" t="s">
        <v>216</v>
      </c>
      <c r="F8" s="15"/>
    </row>
    <row r="9">
      <c r="A9" s="14" t="s">
        <v>238</v>
      </c>
      <c r="B9" s="14" t="s">
        <v>398</v>
      </c>
      <c r="C9" s="14" t="s">
        <v>944</v>
      </c>
      <c r="D9" s="14" t="s">
        <v>945</v>
      </c>
      <c r="E9" s="24" t="s">
        <v>216</v>
      </c>
      <c r="F9" s="15"/>
    </row>
    <row r="10">
      <c r="A10" s="14" t="s">
        <v>238</v>
      </c>
      <c r="B10" s="14" t="s">
        <v>946</v>
      </c>
      <c r="C10" s="14" t="s">
        <v>947</v>
      </c>
      <c r="D10" s="14" t="s">
        <v>948</v>
      </c>
      <c r="E10" s="24" t="s">
        <v>216</v>
      </c>
      <c r="F10" s="15"/>
    </row>
    <row r="11">
      <c r="A11" s="14" t="s">
        <v>238</v>
      </c>
      <c r="B11" s="14" t="s">
        <v>949</v>
      </c>
      <c r="C11" s="14" t="s">
        <v>950</v>
      </c>
      <c r="D11" s="14" t="s">
        <v>951</v>
      </c>
      <c r="E11" s="24" t="s">
        <v>216</v>
      </c>
      <c r="F11" s="15"/>
    </row>
    <row r="12">
      <c r="A12" s="14" t="s">
        <v>238</v>
      </c>
      <c r="B12" s="14" t="s">
        <v>952</v>
      </c>
      <c r="C12" s="14" t="s">
        <v>953</v>
      </c>
      <c r="D12" s="14" t="s">
        <v>954</v>
      </c>
      <c r="E12" s="24" t="s">
        <v>216</v>
      </c>
      <c r="F12" s="15"/>
    </row>
    <row r="13">
      <c r="A13" s="14" t="s">
        <v>238</v>
      </c>
      <c r="B13" s="14" t="s">
        <v>404</v>
      </c>
      <c r="C13" s="14" t="s">
        <v>955</v>
      </c>
      <c r="D13" s="14" t="s">
        <v>956</v>
      </c>
      <c r="E13" s="24" t="s">
        <v>216</v>
      </c>
      <c r="F13" s="15"/>
    </row>
    <row r="14">
      <c r="A14" s="14" t="s">
        <v>238</v>
      </c>
      <c r="B14" s="14" t="s">
        <v>957</v>
      </c>
      <c r="C14" s="14" t="s">
        <v>958</v>
      </c>
      <c r="D14" s="14" t="s">
        <v>959</v>
      </c>
      <c r="E14" s="21" t="s">
        <v>274</v>
      </c>
      <c r="F14" s="45" t="s">
        <v>960</v>
      </c>
    </row>
    <row r="15">
      <c r="A15" s="14" t="s">
        <v>238</v>
      </c>
      <c r="B15" s="14" t="s">
        <v>961</v>
      </c>
      <c r="C15" s="14" t="s">
        <v>962</v>
      </c>
      <c r="D15" s="14" t="s">
        <v>963</v>
      </c>
      <c r="E15" s="24" t="s">
        <v>274</v>
      </c>
      <c r="F15" s="16" t="s">
        <v>964</v>
      </c>
    </row>
    <row r="16">
      <c r="A16" s="14" t="s">
        <v>238</v>
      </c>
      <c r="B16" s="14" t="s">
        <v>965</v>
      </c>
      <c r="C16" s="14" t="s">
        <v>966</v>
      </c>
      <c r="D16" s="14" t="s">
        <v>967</v>
      </c>
      <c r="E16" s="24" t="s">
        <v>216</v>
      </c>
      <c r="F16" s="15"/>
    </row>
    <row r="17">
      <c r="A17" s="14" t="s">
        <v>238</v>
      </c>
      <c r="B17" s="14" t="s">
        <v>968</v>
      </c>
      <c r="C17" s="14" t="s">
        <v>969</v>
      </c>
      <c r="D17" s="14" t="s">
        <v>970</v>
      </c>
      <c r="E17" s="24" t="s">
        <v>216</v>
      </c>
      <c r="F17" s="15"/>
    </row>
    <row r="18">
      <c r="A18" s="14" t="s">
        <v>238</v>
      </c>
      <c r="B18" s="14" t="s">
        <v>971</v>
      </c>
      <c r="C18" s="14" t="s">
        <v>972</v>
      </c>
      <c r="D18" s="14" t="s">
        <v>973</v>
      </c>
      <c r="E18" s="24" t="s">
        <v>216</v>
      </c>
      <c r="F18" s="15"/>
    </row>
    <row r="19">
      <c r="A19" s="14" t="s">
        <v>238</v>
      </c>
      <c r="B19" s="14" t="s">
        <v>974</v>
      </c>
      <c r="C19" s="14" t="s">
        <v>975</v>
      </c>
      <c r="D19" s="14" t="s">
        <v>976</v>
      </c>
      <c r="E19" s="24" t="s">
        <v>274</v>
      </c>
      <c r="F19" s="15"/>
    </row>
    <row r="20">
      <c r="A20" s="14" t="s">
        <v>238</v>
      </c>
      <c r="B20" s="14" t="s">
        <v>977</v>
      </c>
      <c r="C20" s="14" t="s">
        <v>978</v>
      </c>
      <c r="D20" s="14" t="s">
        <v>979</v>
      </c>
      <c r="E20" s="21" t="s">
        <v>216</v>
      </c>
      <c r="F20" s="15"/>
    </row>
    <row r="21">
      <c r="A21" s="14" t="s">
        <v>238</v>
      </c>
      <c r="B21" s="14" t="s">
        <v>980</v>
      </c>
      <c r="C21" s="14" t="s">
        <v>981</v>
      </c>
      <c r="D21" s="14" t="s">
        <v>982</v>
      </c>
      <c r="E21" s="24" t="s">
        <v>274</v>
      </c>
      <c r="F21" s="15"/>
    </row>
    <row r="22">
      <c r="A22" s="14" t="s">
        <v>238</v>
      </c>
      <c r="B22" s="14" t="s">
        <v>983</v>
      </c>
      <c r="C22" s="14" t="s">
        <v>984</v>
      </c>
      <c r="D22" s="14" t="s">
        <v>985</v>
      </c>
      <c r="E22" s="24" t="s">
        <v>274</v>
      </c>
      <c r="F22" s="22"/>
    </row>
    <row r="23">
      <c r="A23" s="14" t="s">
        <v>238</v>
      </c>
      <c r="B23" s="14" t="s">
        <v>400</v>
      </c>
      <c r="C23" s="14" t="s">
        <v>986</v>
      </c>
      <c r="D23" s="14" t="s">
        <v>185</v>
      </c>
      <c r="E23" s="24" t="s">
        <v>216</v>
      </c>
      <c r="F23" s="15"/>
    </row>
    <row r="24">
      <c r="A24" s="14" t="s">
        <v>238</v>
      </c>
      <c r="B24" s="14" t="s">
        <v>987</v>
      </c>
      <c r="C24" s="14" t="s">
        <v>988</v>
      </c>
      <c r="D24" s="14" t="s">
        <v>989</v>
      </c>
      <c r="E24" s="24" t="s">
        <v>216</v>
      </c>
      <c r="F24" s="15"/>
    </row>
    <row r="25">
      <c r="A25" s="14" t="s">
        <v>238</v>
      </c>
      <c r="B25" s="14" t="s">
        <v>406</v>
      </c>
      <c r="C25" s="14" t="s">
        <v>990</v>
      </c>
      <c r="D25" s="14" t="s">
        <v>991</v>
      </c>
      <c r="E25" s="24" t="s">
        <v>216</v>
      </c>
      <c r="F25" s="15"/>
    </row>
    <row r="26">
      <c r="A26" s="14" t="s">
        <v>238</v>
      </c>
      <c r="B26" s="14" t="s">
        <v>992</v>
      </c>
      <c r="C26" s="14" t="s">
        <v>993</v>
      </c>
      <c r="D26" s="14" t="s">
        <v>994</v>
      </c>
      <c r="E26" s="24" t="s">
        <v>995</v>
      </c>
      <c r="F26" s="15"/>
    </row>
    <row r="27">
      <c r="A27" s="14" t="s">
        <v>238</v>
      </c>
      <c r="B27" s="14" t="s">
        <v>996</v>
      </c>
      <c r="C27" s="14" t="s">
        <v>997</v>
      </c>
      <c r="D27" s="14" t="s">
        <v>998</v>
      </c>
      <c r="E27" s="24" t="s">
        <v>995</v>
      </c>
      <c r="F27" s="46" t="s">
        <v>999</v>
      </c>
    </row>
    <row r="28">
      <c r="A28" s="14" t="s">
        <v>238</v>
      </c>
      <c r="B28" s="14" t="s">
        <v>1000</v>
      </c>
      <c r="C28" s="14" t="s">
        <v>1001</v>
      </c>
      <c r="D28" s="14" t="s">
        <v>1002</v>
      </c>
      <c r="E28" s="21" t="s">
        <v>995</v>
      </c>
      <c r="F28" s="15"/>
    </row>
    <row r="29">
      <c r="A29" s="14" t="s">
        <v>238</v>
      </c>
      <c r="B29" s="14" t="s">
        <v>1003</v>
      </c>
      <c r="C29" s="14" t="s">
        <v>1004</v>
      </c>
      <c r="D29" s="14" t="s">
        <v>1005</v>
      </c>
      <c r="E29" s="24" t="s">
        <v>995</v>
      </c>
      <c r="F29" s="15"/>
    </row>
    <row r="30">
      <c r="A30" s="14" t="s">
        <v>1006</v>
      </c>
      <c r="B30" s="14" t="s">
        <v>1007</v>
      </c>
      <c r="C30" s="14" t="s">
        <v>1008</v>
      </c>
      <c r="D30" s="14" t="s">
        <v>1009</v>
      </c>
      <c r="E30" s="24" t="s">
        <v>995</v>
      </c>
      <c r="F30" s="15"/>
    </row>
    <row r="31">
      <c r="A31" s="14" t="s">
        <v>337</v>
      </c>
      <c r="B31" s="14" t="s">
        <v>615</v>
      </c>
      <c r="C31" s="14" t="s">
        <v>1010</v>
      </c>
      <c r="D31" s="16" t="s">
        <v>1011</v>
      </c>
      <c r="E31" s="21" t="s">
        <v>216</v>
      </c>
      <c r="F31" s="15"/>
    </row>
    <row r="32">
      <c r="A32" s="14" t="s">
        <v>337</v>
      </c>
      <c r="B32" s="14" t="s">
        <v>1012</v>
      </c>
      <c r="C32" s="14" t="s">
        <v>1013</v>
      </c>
      <c r="D32" s="14" t="s">
        <v>1014</v>
      </c>
      <c r="E32" s="24" t="s">
        <v>216</v>
      </c>
      <c r="F32" s="15"/>
    </row>
    <row r="33">
      <c r="A33" s="14" t="s">
        <v>337</v>
      </c>
      <c r="B33" s="14" t="s">
        <v>1015</v>
      </c>
      <c r="C33" s="14" t="s">
        <v>1016</v>
      </c>
      <c r="D33" s="19" t="s">
        <v>1017</v>
      </c>
      <c r="E33" s="24" t="s">
        <v>274</v>
      </c>
      <c r="F33" s="15"/>
    </row>
    <row r="34">
      <c r="A34" s="14" t="s">
        <v>337</v>
      </c>
      <c r="B34" s="14" t="s">
        <v>433</v>
      </c>
      <c r="C34" s="14" t="s">
        <v>1018</v>
      </c>
      <c r="D34" s="14" t="s">
        <v>1019</v>
      </c>
      <c r="E34" s="24" t="s">
        <v>216</v>
      </c>
      <c r="F34" s="15"/>
    </row>
    <row r="35">
      <c r="A35" s="14" t="s">
        <v>337</v>
      </c>
      <c r="B35" s="14" t="s">
        <v>435</v>
      </c>
      <c r="C35" s="14" t="s">
        <v>1020</v>
      </c>
      <c r="D35" s="14" t="s">
        <v>1021</v>
      </c>
      <c r="E35" s="24" t="s">
        <v>216</v>
      </c>
      <c r="F35" s="15"/>
    </row>
    <row r="36">
      <c r="A36" s="14" t="s">
        <v>337</v>
      </c>
      <c r="B36" s="14" t="s">
        <v>1022</v>
      </c>
      <c r="C36" s="14" t="s">
        <v>1023</v>
      </c>
      <c r="D36" s="17" t="s">
        <v>74</v>
      </c>
      <c r="E36" s="23" t="s">
        <v>274</v>
      </c>
      <c r="F36" s="18" t="s">
        <v>1024</v>
      </c>
    </row>
    <row r="37">
      <c r="A37" s="14" t="s">
        <v>337</v>
      </c>
      <c r="B37" s="14" t="s">
        <v>1025</v>
      </c>
      <c r="C37" s="14" t="s">
        <v>1026</v>
      </c>
      <c r="D37" s="14" t="s">
        <v>1027</v>
      </c>
      <c r="E37" s="24" t="s">
        <v>995</v>
      </c>
      <c r="F37" s="15"/>
    </row>
    <row r="38">
      <c r="A38" s="14" t="s">
        <v>1028</v>
      </c>
      <c r="B38" s="14" t="s">
        <v>1029</v>
      </c>
      <c r="C38" s="14" t="s">
        <v>1030</v>
      </c>
      <c r="D38" s="14" t="s">
        <v>1031</v>
      </c>
      <c r="E38" s="47" t="s">
        <v>995</v>
      </c>
      <c r="F38" s="15"/>
    </row>
    <row r="39">
      <c r="A39" s="14" t="s">
        <v>367</v>
      </c>
      <c r="B39" s="14" t="s">
        <v>1032</v>
      </c>
      <c r="C39" s="14" t="s">
        <v>1033</v>
      </c>
      <c r="D39" s="14" t="s">
        <v>1034</v>
      </c>
      <c r="E39" s="24" t="s">
        <v>216</v>
      </c>
      <c r="F39" s="15"/>
    </row>
    <row r="40">
      <c r="A40" s="14" t="s">
        <v>367</v>
      </c>
      <c r="B40" s="14" t="s">
        <v>662</v>
      </c>
      <c r="C40" s="14" t="s">
        <v>1035</v>
      </c>
      <c r="D40" s="14" t="s">
        <v>1036</v>
      </c>
      <c r="E40" s="24" t="s">
        <v>216</v>
      </c>
      <c r="F40" s="15"/>
    </row>
    <row r="41">
      <c r="A41" s="14" t="s">
        <v>367</v>
      </c>
      <c r="B41" s="14" t="s">
        <v>664</v>
      </c>
      <c r="C41" s="14" t="s">
        <v>1037</v>
      </c>
      <c r="D41" s="14" t="s">
        <v>1038</v>
      </c>
      <c r="E41" s="21" t="s">
        <v>216</v>
      </c>
      <c r="F41" s="15"/>
    </row>
    <row r="42">
      <c r="A42" s="16" t="s">
        <v>367</v>
      </c>
      <c r="B42" s="16" t="s">
        <v>1039</v>
      </c>
      <c r="C42" s="16" t="s">
        <v>1040</v>
      </c>
      <c r="D42" s="16" t="s">
        <v>1041</v>
      </c>
      <c r="E42" s="24" t="s">
        <v>216</v>
      </c>
      <c r="F42" s="15"/>
    </row>
    <row r="43">
      <c r="A43" s="16" t="s">
        <v>367</v>
      </c>
      <c r="B43" s="16" t="s">
        <v>1042</v>
      </c>
      <c r="C43" s="16" t="s">
        <v>1043</v>
      </c>
      <c r="D43" s="16" t="s">
        <v>1044</v>
      </c>
      <c r="E43" s="24" t="s">
        <v>216</v>
      </c>
      <c r="F43" s="15"/>
    </row>
    <row r="44">
      <c r="A44" s="16" t="s">
        <v>367</v>
      </c>
      <c r="B44" s="16" t="s">
        <v>381</v>
      </c>
      <c r="C44" s="14" t="s">
        <v>1045</v>
      </c>
      <c r="D44" s="14" t="s">
        <v>382</v>
      </c>
      <c r="E44" s="24" t="s">
        <v>216</v>
      </c>
      <c r="F44" s="22"/>
    </row>
    <row r="45">
      <c r="A45" s="16" t="s">
        <v>367</v>
      </c>
      <c r="B45" s="16" t="s">
        <v>443</v>
      </c>
      <c r="C45" s="16" t="s">
        <v>1046</v>
      </c>
      <c r="D45" s="16" t="s">
        <v>1047</v>
      </c>
      <c r="E45" s="24" t="s">
        <v>216</v>
      </c>
      <c r="F45" s="15"/>
    </row>
    <row r="46">
      <c r="A46" s="16" t="s">
        <v>367</v>
      </c>
      <c r="B46" s="16" t="s">
        <v>1048</v>
      </c>
      <c r="C46" s="16" t="s">
        <v>1049</v>
      </c>
      <c r="D46" s="16" t="s">
        <v>1050</v>
      </c>
      <c r="E46" s="24" t="s">
        <v>274</v>
      </c>
      <c r="F46" s="16" t="s">
        <v>1051</v>
      </c>
    </row>
    <row r="47">
      <c r="A47" s="16" t="s">
        <v>367</v>
      </c>
      <c r="B47" s="16" t="s">
        <v>1052</v>
      </c>
      <c r="C47" s="16" t="s">
        <v>1053</v>
      </c>
      <c r="D47" s="16" t="s">
        <v>1054</v>
      </c>
      <c r="E47" s="15"/>
      <c r="F47" s="15"/>
    </row>
    <row r="48">
      <c r="A48" s="16" t="s">
        <v>367</v>
      </c>
      <c r="B48" s="16" t="s">
        <v>441</v>
      </c>
      <c r="C48" s="16" t="s">
        <v>1055</v>
      </c>
      <c r="D48" s="16" t="s">
        <v>1056</v>
      </c>
      <c r="E48" s="24" t="s">
        <v>216</v>
      </c>
      <c r="F48" s="15"/>
    </row>
    <row r="49">
      <c r="A49" s="16" t="s">
        <v>367</v>
      </c>
      <c r="B49" s="16" t="s">
        <v>1057</v>
      </c>
      <c r="C49" s="16" t="s">
        <v>1058</v>
      </c>
      <c r="D49" s="14" t="s">
        <v>1059</v>
      </c>
      <c r="E49" s="21" t="s">
        <v>216</v>
      </c>
      <c r="F49" s="15"/>
    </row>
    <row r="50">
      <c r="A50" s="16" t="s">
        <v>367</v>
      </c>
      <c r="B50" s="16" t="s">
        <v>1060</v>
      </c>
      <c r="C50" s="16" t="s">
        <v>1061</v>
      </c>
      <c r="D50" s="16" t="s">
        <v>1062</v>
      </c>
      <c r="E50" s="24" t="s">
        <v>216</v>
      </c>
      <c r="F50" s="15"/>
    </row>
    <row r="51">
      <c r="A51" s="16" t="s">
        <v>367</v>
      </c>
      <c r="B51" s="16" t="s">
        <v>1063</v>
      </c>
      <c r="C51" s="16" t="s">
        <v>1058</v>
      </c>
      <c r="D51" s="19" t="s">
        <v>1064</v>
      </c>
      <c r="E51" s="48" t="s">
        <v>995</v>
      </c>
      <c r="F51" s="15"/>
    </row>
    <row r="52">
      <c r="A52" s="16" t="s">
        <v>367</v>
      </c>
      <c r="B52" s="16" t="s">
        <v>1065</v>
      </c>
      <c r="C52" s="16" t="s">
        <v>1066</v>
      </c>
      <c r="D52" s="15"/>
      <c r="E52" s="24" t="s">
        <v>274</v>
      </c>
      <c r="F52" s="16" t="s">
        <v>1067</v>
      </c>
    </row>
    <row r="53">
      <c r="A53" s="16" t="s">
        <v>367</v>
      </c>
      <c r="B53" s="16" t="s">
        <v>1068</v>
      </c>
      <c r="C53" s="16" t="s">
        <v>1069</v>
      </c>
      <c r="D53" s="16" t="s">
        <v>1070</v>
      </c>
      <c r="E53" s="15"/>
      <c r="F53" s="15"/>
    </row>
  </sheetData>
  <hyperlinks>
    <hyperlink r:id="rId1" location="gid=1783684271" ref="F14"/>
    <hyperlink r:id="rId2" ref="F27"/>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6.75"/>
    <col customWidth="1" hidden="1" min="2" max="5" width="30.5"/>
    <col customWidth="1" hidden="1" min="6" max="6" width="36.25"/>
    <col customWidth="1" min="7" max="7" width="38.0"/>
    <col customWidth="1" min="8" max="8" width="36.13"/>
    <col customWidth="1" min="9" max="9" width="33.5"/>
    <col customWidth="1" min="10" max="10" width="34.38"/>
    <col customWidth="1" min="11" max="12" width="37.0"/>
    <col hidden="1" min="13" max="32" width="12.63"/>
  </cols>
  <sheetData>
    <row r="1">
      <c r="A1" s="49" t="s">
        <v>1071</v>
      </c>
      <c r="B1" s="50"/>
      <c r="C1" s="51"/>
      <c r="D1" s="51"/>
      <c r="E1" s="51"/>
      <c r="F1" s="51"/>
      <c r="G1" s="51"/>
      <c r="H1" s="51"/>
      <c r="I1" s="51"/>
      <c r="J1" s="51"/>
      <c r="K1" s="52"/>
      <c r="L1" s="52"/>
    </row>
    <row r="2">
      <c r="A2" s="49"/>
      <c r="B2" s="50"/>
      <c r="C2" s="51"/>
      <c r="D2" s="51"/>
      <c r="E2" s="51"/>
      <c r="F2" s="51"/>
      <c r="G2" s="51"/>
      <c r="H2" s="51"/>
      <c r="I2" s="51"/>
      <c r="J2" s="51"/>
      <c r="K2" s="52"/>
      <c r="L2" s="52"/>
    </row>
    <row r="3">
      <c r="A3" s="53" t="s">
        <v>1072</v>
      </c>
      <c r="B3" s="53" t="s">
        <v>1073</v>
      </c>
      <c r="C3" s="53" t="s">
        <v>1074</v>
      </c>
      <c r="D3" s="54" t="s">
        <v>1075</v>
      </c>
      <c r="E3" s="53" t="s">
        <v>1076</v>
      </c>
      <c r="F3" s="54" t="s">
        <v>1077</v>
      </c>
      <c r="G3" s="53" t="s">
        <v>1078</v>
      </c>
      <c r="H3" s="54" t="s">
        <v>1079</v>
      </c>
      <c r="I3" s="53" t="s">
        <v>1080</v>
      </c>
      <c r="J3" s="55" t="s">
        <v>1081</v>
      </c>
      <c r="K3" s="56" t="s">
        <v>1082</v>
      </c>
      <c r="L3" s="56" t="s">
        <v>1083</v>
      </c>
    </row>
    <row r="4">
      <c r="A4" s="57" t="s">
        <v>1084</v>
      </c>
      <c r="B4" s="58" t="s">
        <v>1085</v>
      </c>
      <c r="C4" s="58" t="s">
        <v>1086</v>
      </c>
      <c r="D4" s="58" t="s">
        <v>1087</v>
      </c>
      <c r="E4" s="59" t="s">
        <v>1085</v>
      </c>
      <c r="F4" s="58" t="s">
        <v>1085</v>
      </c>
      <c r="G4" s="58" t="s">
        <v>1085</v>
      </c>
      <c r="H4" s="52"/>
      <c r="I4" s="52"/>
      <c r="J4" s="60" t="s">
        <v>1088</v>
      </c>
      <c r="K4" s="59" t="s">
        <v>1089</v>
      </c>
      <c r="L4" s="52"/>
      <c r="M4" s="61"/>
    </row>
    <row r="5">
      <c r="A5" s="62" t="s">
        <v>388</v>
      </c>
      <c r="B5" s="63" t="s">
        <v>1090</v>
      </c>
      <c r="C5" s="63" t="s">
        <v>1091</v>
      </c>
      <c r="D5" s="63" t="s">
        <v>1092</v>
      </c>
      <c r="E5" s="64" t="s">
        <v>1093</v>
      </c>
      <c r="F5" s="64" t="s">
        <v>1094</v>
      </c>
      <c r="G5" s="64" t="s">
        <v>866</v>
      </c>
      <c r="H5" s="52"/>
      <c r="I5" s="52"/>
      <c r="J5" s="63" t="s">
        <v>1095</v>
      </c>
      <c r="K5" s="64" t="s">
        <v>746</v>
      </c>
      <c r="L5" s="52"/>
      <c r="M5" s="61"/>
    </row>
    <row r="6">
      <c r="A6" s="62" t="s">
        <v>1096</v>
      </c>
      <c r="B6" s="63" t="s">
        <v>1097</v>
      </c>
      <c r="C6" s="63" t="s">
        <v>396</v>
      </c>
      <c r="D6" s="63" t="s">
        <v>1098</v>
      </c>
      <c r="E6" s="64" t="s">
        <v>1099</v>
      </c>
      <c r="F6" s="64" t="s">
        <v>1100</v>
      </c>
      <c r="G6" s="64" t="s">
        <v>1101</v>
      </c>
      <c r="H6" s="52"/>
      <c r="I6" s="52"/>
      <c r="J6" s="63" t="s">
        <v>664</v>
      </c>
      <c r="K6" s="64" t="s">
        <v>1102</v>
      </c>
      <c r="L6" s="52"/>
      <c r="M6" s="61"/>
    </row>
    <row r="7">
      <c r="A7" s="62" t="s">
        <v>1103</v>
      </c>
      <c r="B7" s="63" t="s">
        <v>1104</v>
      </c>
      <c r="C7" s="65"/>
      <c r="D7" s="65"/>
      <c r="E7" s="64" t="s">
        <v>1105</v>
      </c>
      <c r="F7" s="64" t="s">
        <v>1106</v>
      </c>
      <c r="G7" s="66" t="s">
        <v>1107</v>
      </c>
      <c r="H7" s="52"/>
      <c r="I7" s="52"/>
      <c r="J7" s="63" t="s">
        <v>636</v>
      </c>
      <c r="K7" s="67" t="s">
        <v>1108</v>
      </c>
      <c r="L7" s="52"/>
      <c r="M7" s="61"/>
    </row>
    <row r="8">
      <c r="A8" s="68"/>
      <c r="B8" s="52"/>
      <c r="C8" s="63"/>
      <c r="D8" s="63"/>
      <c r="E8" s="52"/>
      <c r="F8" s="69"/>
      <c r="G8" s="63"/>
      <c r="H8" s="52"/>
      <c r="I8" s="52"/>
      <c r="J8" s="63"/>
      <c r="K8" s="69"/>
      <c r="L8" s="69"/>
      <c r="M8" s="61"/>
    </row>
    <row r="9">
      <c r="A9" s="70" t="s">
        <v>1109</v>
      </c>
      <c r="B9" s="58" t="s">
        <v>1085</v>
      </c>
      <c r="C9" s="58" t="s">
        <v>1110</v>
      </c>
      <c r="D9" s="58" t="s">
        <v>1111</v>
      </c>
      <c r="E9" s="52"/>
      <c r="F9" s="52"/>
      <c r="G9" s="52"/>
      <c r="H9" s="52"/>
      <c r="I9" s="52"/>
      <c r="J9" s="58" t="s">
        <v>1085</v>
      </c>
      <c r="K9" s="58" t="s">
        <v>1085</v>
      </c>
      <c r="L9" s="52"/>
    </row>
    <row r="10">
      <c r="A10" s="62" t="s">
        <v>1112</v>
      </c>
      <c r="B10" s="64" t="s">
        <v>636</v>
      </c>
      <c r="C10" s="66" t="s">
        <v>1113</v>
      </c>
      <c r="D10" s="63" t="s">
        <v>692</v>
      </c>
      <c r="E10" s="52"/>
      <c r="F10" s="52"/>
      <c r="G10" s="52"/>
      <c r="H10" s="52"/>
      <c r="I10" s="52"/>
      <c r="J10" s="63" t="s">
        <v>1095</v>
      </c>
      <c r="K10" s="64" t="s">
        <v>888</v>
      </c>
      <c r="L10" s="52"/>
    </row>
    <row r="11">
      <c r="A11" s="62" t="s">
        <v>647</v>
      </c>
      <c r="B11" s="64" t="s">
        <v>1114</v>
      </c>
      <c r="C11" s="63" t="s">
        <v>1115</v>
      </c>
      <c r="D11" s="63" t="s">
        <v>1116</v>
      </c>
      <c r="E11" s="52"/>
      <c r="F11" s="52"/>
      <c r="G11" s="52"/>
      <c r="H11" s="52"/>
      <c r="I11" s="52"/>
      <c r="J11" s="63" t="s">
        <v>1117</v>
      </c>
      <c r="K11" s="64" t="s">
        <v>1106</v>
      </c>
      <c r="L11" s="52"/>
    </row>
    <row r="12">
      <c r="A12" s="62" t="s">
        <v>650</v>
      </c>
      <c r="B12" s="64" t="s">
        <v>1106</v>
      </c>
      <c r="C12" s="63" t="s">
        <v>1105</v>
      </c>
      <c r="D12" s="65"/>
      <c r="E12" s="52"/>
      <c r="F12" s="52"/>
      <c r="G12" s="52"/>
      <c r="H12" s="52"/>
      <c r="I12" s="52"/>
      <c r="J12" s="63" t="s">
        <v>1118</v>
      </c>
      <c r="K12" s="67" t="s">
        <v>1101</v>
      </c>
      <c r="L12" s="52"/>
    </row>
    <row r="13">
      <c r="A13" s="68"/>
      <c r="B13" s="52"/>
      <c r="C13" s="63"/>
      <c r="D13" s="63"/>
      <c r="E13" s="52"/>
      <c r="F13" s="52"/>
      <c r="G13" s="52"/>
      <c r="H13" s="52"/>
      <c r="I13" s="52"/>
      <c r="J13" s="63"/>
      <c r="K13" s="52"/>
      <c r="L13" s="69"/>
      <c r="M13" s="61"/>
    </row>
    <row r="14">
      <c r="A14" s="59" t="s">
        <v>1119</v>
      </c>
      <c r="B14" s="58" t="s">
        <v>1085</v>
      </c>
      <c r="C14" s="58" t="s">
        <v>1120</v>
      </c>
      <c r="D14" s="59" t="s">
        <v>1121</v>
      </c>
      <c r="E14" s="52"/>
      <c r="F14" s="52"/>
      <c r="G14" s="52"/>
      <c r="H14" s="52"/>
      <c r="I14" s="52"/>
      <c r="J14" s="58" t="s">
        <v>1085</v>
      </c>
      <c r="K14" s="52"/>
      <c r="L14" s="52"/>
    </row>
    <row r="15">
      <c r="A15" s="64" t="s">
        <v>610</v>
      </c>
      <c r="B15" s="64" t="s">
        <v>1122</v>
      </c>
      <c r="C15" s="63" t="s">
        <v>1123</v>
      </c>
      <c r="D15" s="64" t="s">
        <v>1124</v>
      </c>
      <c r="E15" s="52"/>
      <c r="F15" s="52"/>
      <c r="G15" s="52"/>
      <c r="H15" s="52"/>
      <c r="I15" s="52"/>
      <c r="J15" s="64" t="s">
        <v>883</v>
      </c>
      <c r="K15" s="52"/>
      <c r="L15" s="52"/>
    </row>
    <row r="16">
      <c r="A16" s="64" t="s">
        <v>1125</v>
      </c>
      <c r="B16" s="64" t="s">
        <v>1126</v>
      </c>
      <c r="C16" s="63" t="s">
        <v>1127</v>
      </c>
      <c r="D16" s="64" t="s">
        <v>1128</v>
      </c>
      <c r="E16" s="52"/>
      <c r="F16" s="52"/>
      <c r="G16" s="52"/>
      <c r="H16" s="52"/>
      <c r="I16" s="52"/>
      <c r="J16" s="64" t="s">
        <v>1106</v>
      </c>
      <c r="K16" s="52"/>
      <c r="L16" s="52"/>
    </row>
    <row r="17">
      <c r="A17" s="64" t="s">
        <v>658</v>
      </c>
      <c r="B17" s="64" t="s">
        <v>1129</v>
      </c>
      <c r="C17" s="71" t="s">
        <v>1130</v>
      </c>
      <c r="D17" s="64" t="s">
        <v>1129</v>
      </c>
      <c r="E17" s="52"/>
      <c r="F17" s="52"/>
      <c r="G17" s="52"/>
      <c r="H17" s="52"/>
      <c r="I17" s="52"/>
      <c r="J17" s="64" t="s">
        <v>1129</v>
      </c>
      <c r="K17" s="52"/>
      <c r="L17" s="69"/>
    </row>
    <row r="18">
      <c r="A18" s="52"/>
      <c r="B18" s="52"/>
      <c r="C18" s="52"/>
      <c r="D18" s="69"/>
      <c r="E18" s="52"/>
      <c r="F18" s="52"/>
      <c r="G18" s="52"/>
      <c r="H18" s="52"/>
      <c r="I18" s="52"/>
      <c r="J18" s="52"/>
      <c r="K18" s="69"/>
      <c r="L18" s="69"/>
    </row>
    <row r="19">
      <c r="A19" s="58" t="s">
        <v>1131</v>
      </c>
      <c r="B19" s="58" t="s">
        <v>1085</v>
      </c>
      <c r="C19" s="58" t="s">
        <v>1085</v>
      </c>
      <c r="D19" s="58" t="s">
        <v>1085</v>
      </c>
      <c r="E19" s="52"/>
      <c r="F19" s="52"/>
      <c r="G19" s="52"/>
      <c r="H19" s="52"/>
      <c r="I19" s="52"/>
      <c r="J19" s="52"/>
      <c r="K19" s="69"/>
      <c r="L19" s="69"/>
    </row>
    <row r="20">
      <c r="A20" s="72" t="s">
        <v>1132</v>
      </c>
      <c r="B20" s="64" t="s">
        <v>1125</v>
      </c>
      <c r="C20" s="64" t="s">
        <v>843</v>
      </c>
      <c r="D20" s="64" t="s">
        <v>848</v>
      </c>
      <c r="E20" s="52"/>
      <c r="F20" s="52"/>
      <c r="G20" s="52"/>
      <c r="H20" s="52"/>
      <c r="I20" s="52"/>
      <c r="J20" s="52"/>
      <c r="K20" s="69"/>
      <c r="L20" s="69"/>
    </row>
    <row r="21">
      <c r="A21" s="72" t="s">
        <v>266</v>
      </c>
      <c r="B21" s="64" t="s">
        <v>610</v>
      </c>
      <c r="C21" s="64" t="s">
        <v>1106</v>
      </c>
      <c r="D21" s="64" t="s">
        <v>1100</v>
      </c>
      <c r="E21" s="52"/>
      <c r="F21" s="52"/>
      <c r="G21" s="52"/>
      <c r="H21" s="52"/>
      <c r="I21" s="52"/>
      <c r="J21" s="52"/>
      <c r="K21" s="69"/>
      <c r="L21" s="69"/>
    </row>
    <row r="22">
      <c r="A22" s="72" t="s">
        <v>1133</v>
      </c>
      <c r="B22" s="64" t="s">
        <v>1118</v>
      </c>
      <c r="C22" s="64" t="s">
        <v>1101</v>
      </c>
      <c r="D22" s="64" t="s">
        <v>1134</v>
      </c>
      <c r="E22" s="52"/>
      <c r="F22" s="52"/>
      <c r="G22" s="52"/>
      <c r="H22" s="52"/>
      <c r="I22" s="52"/>
      <c r="J22" s="52"/>
      <c r="K22" s="69"/>
      <c r="L22" s="69"/>
    </row>
    <row r="23">
      <c r="A23" s="52"/>
      <c r="B23" s="52"/>
      <c r="C23" s="52"/>
      <c r="D23" s="69"/>
      <c r="E23" s="52"/>
      <c r="F23" s="52"/>
      <c r="G23" s="52"/>
      <c r="H23" s="52"/>
      <c r="I23" s="52"/>
      <c r="J23" s="52"/>
      <c r="K23" s="69"/>
      <c r="L23" s="69"/>
    </row>
    <row r="24">
      <c r="A24" s="52"/>
      <c r="B24" s="58" t="s">
        <v>1085</v>
      </c>
      <c r="C24" s="52"/>
      <c r="D24" s="69"/>
      <c r="E24" s="52"/>
      <c r="F24" s="52"/>
      <c r="G24" s="52"/>
      <c r="H24" s="52"/>
      <c r="I24" s="52"/>
      <c r="J24" s="52"/>
      <c r="K24" s="69"/>
      <c r="L24" s="69"/>
    </row>
    <row r="25">
      <c r="A25" s="52"/>
      <c r="B25" s="64" t="s">
        <v>1135</v>
      </c>
      <c r="C25" s="52"/>
      <c r="D25" s="69"/>
      <c r="E25" s="52"/>
      <c r="F25" s="52"/>
      <c r="G25" s="52"/>
      <c r="H25" s="52"/>
      <c r="I25" s="52"/>
      <c r="J25" s="52"/>
      <c r="K25" s="69"/>
      <c r="L25" s="69"/>
    </row>
    <row r="26">
      <c r="A26" s="52"/>
      <c r="B26" s="64" t="s">
        <v>1103</v>
      </c>
      <c r="C26" s="52"/>
      <c r="D26" s="69"/>
      <c r="E26" s="52"/>
      <c r="F26" s="52"/>
      <c r="G26" s="52"/>
      <c r="H26" s="52"/>
      <c r="I26" s="52"/>
      <c r="J26" s="52"/>
      <c r="K26" s="69"/>
      <c r="L26" s="69"/>
    </row>
    <row r="27">
      <c r="A27" s="52"/>
      <c r="B27" s="64" t="s">
        <v>1136</v>
      </c>
      <c r="C27" s="52"/>
      <c r="D27" s="69"/>
      <c r="E27" s="52"/>
      <c r="F27" s="52"/>
      <c r="G27" s="52"/>
      <c r="H27" s="52"/>
      <c r="I27" s="52"/>
      <c r="J27" s="52"/>
      <c r="K27" s="69"/>
      <c r="L27" s="69"/>
    </row>
    <row r="28">
      <c r="A28" s="52"/>
      <c r="B28" s="52"/>
      <c r="C28" s="52"/>
      <c r="D28" s="63"/>
      <c r="E28" s="52"/>
      <c r="F28" s="52"/>
      <c r="G28" s="52"/>
      <c r="H28" s="52"/>
      <c r="I28" s="52"/>
      <c r="J28" s="52"/>
      <c r="K28" s="69"/>
      <c r="L28" s="69"/>
    </row>
    <row r="29">
      <c r="A29" s="73" t="s">
        <v>1137</v>
      </c>
      <c r="B29" s="74" t="s">
        <v>1138</v>
      </c>
      <c r="C29" s="52"/>
      <c r="D29" s="52"/>
      <c r="E29" s="75" t="s">
        <v>1139</v>
      </c>
      <c r="F29" s="75" t="s">
        <v>1140</v>
      </c>
      <c r="G29" s="74" t="s">
        <v>1139</v>
      </c>
      <c r="H29" s="52"/>
      <c r="I29" s="75" t="s">
        <v>1141</v>
      </c>
      <c r="J29" s="74" t="s">
        <v>1142</v>
      </c>
      <c r="K29" s="52"/>
      <c r="L29" s="75" t="s">
        <v>1139</v>
      </c>
    </row>
    <row r="30">
      <c r="A30" s="62" t="s">
        <v>392</v>
      </c>
      <c r="B30" s="63" t="s">
        <v>662</v>
      </c>
      <c r="C30" s="52"/>
      <c r="D30" s="52"/>
      <c r="E30" s="64" t="s">
        <v>854</v>
      </c>
      <c r="F30" s="69" t="s">
        <v>1143</v>
      </c>
      <c r="G30" s="64" t="s">
        <v>869</v>
      </c>
      <c r="H30" s="52"/>
      <c r="I30" s="69" t="s">
        <v>728</v>
      </c>
      <c r="J30" s="63" t="s">
        <v>1144</v>
      </c>
      <c r="K30" s="52"/>
      <c r="L30" s="64" t="s">
        <v>1145</v>
      </c>
    </row>
    <row r="31">
      <c r="A31" s="62" t="s">
        <v>583</v>
      </c>
      <c r="B31" s="63" t="s">
        <v>1134</v>
      </c>
      <c r="C31" s="52"/>
      <c r="D31" s="52"/>
      <c r="E31" s="64" t="s">
        <v>1134</v>
      </c>
      <c r="F31" s="69" t="s">
        <v>1146</v>
      </c>
      <c r="G31" s="64" t="s">
        <v>1106</v>
      </c>
      <c r="H31" s="52"/>
      <c r="I31" s="69" t="s">
        <v>1147</v>
      </c>
      <c r="J31" s="63" t="s">
        <v>1134</v>
      </c>
      <c r="K31" s="52"/>
      <c r="L31" s="64" t="s">
        <v>1148</v>
      </c>
    </row>
    <row r="32">
      <c r="A32" s="62" t="s">
        <v>678</v>
      </c>
      <c r="B32" s="63"/>
      <c r="C32" s="52"/>
      <c r="D32" s="52"/>
      <c r="E32" s="64" t="s">
        <v>1115</v>
      </c>
      <c r="F32" s="69"/>
      <c r="G32" s="64" t="s">
        <v>1115</v>
      </c>
      <c r="H32" s="52"/>
      <c r="I32" s="52"/>
      <c r="J32" s="52"/>
      <c r="K32" s="52"/>
      <c r="L32" s="64" t="s">
        <v>1149</v>
      </c>
    </row>
    <row r="33">
      <c r="A33" s="52"/>
      <c r="B33" s="63"/>
      <c r="C33" s="69"/>
      <c r="D33" s="52"/>
      <c r="E33" s="52"/>
      <c r="F33" s="69"/>
      <c r="G33" s="52"/>
      <c r="H33" s="52"/>
      <c r="I33" s="69"/>
      <c r="J33" s="52"/>
      <c r="K33" s="52"/>
      <c r="L33" s="52"/>
    </row>
    <row r="34">
      <c r="A34" s="73" t="s">
        <v>1150</v>
      </c>
      <c r="B34" s="74" t="s">
        <v>1139</v>
      </c>
      <c r="C34" s="52"/>
      <c r="D34" s="52"/>
      <c r="E34" s="52"/>
      <c r="F34" s="75" t="s">
        <v>1151</v>
      </c>
      <c r="G34" s="52"/>
      <c r="H34" s="52"/>
      <c r="I34" s="75" t="s">
        <v>1152</v>
      </c>
      <c r="J34" s="52"/>
      <c r="K34" s="52"/>
      <c r="L34" s="76" t="s">
        <v>1153</v>
      </c>
    </row>
    <row r="35">
      <c r="A35" s="62" t="s">
        <v>1154</v>
      </c>
      <c r="B35" s="63" t="s">
        <v>633</v>
      </c>
      <c r="C35" s="52"/>
      <c r="D35" s="52"/>
      <c r="E35" s="52"/>
      <c r="F35" s="69" t="s">
        <v>703</v>
      </c>
      <c r="G35" s="52"/>
      <c r="H35" s="52"/>
      <c r="I35" s="69" t="s">
        <v>731</v>
      </c>
      <c r="J35" s="52"/>
      <c r="K35" s="52"/>
      <c r="L35" s="64" t="s">
        <v>750</v>
      </c>
    </row>
    <row r="36">
      <c r="A36" s="62" t="s">
        <v>1155</v>
      </c>
      <c r="B36" s="63" t="s">
        <v>1156</v>
      </c>
      <c r="C36" s="52"/>
      <c r="D36" s="52"/>
      <c r="E36" s="52"/>
      <c r="F36" s="69" t="s">
        <v>368</v>
      </c>
      <c r="G36" s="52"/>
      <c r="H36" s="52"/>
      <c r="I36" s="69" t="s">
        <v>734</v>
      </c>
      <c r="J36" s="52"/>
      <c r="K36" s="52"/>
      <c r="L36" s="64" t="s">
        <v>208</v>
      </c>
    </row>
    <row r="37">
      <c r="A37" s="68"/>
      <c r="B37" s="63" t="s">
        <v>1157</v>
      </c>
      <c r="C37" s="52"/>
      <c r="D37" s="52"/>
      <c r="E37" s="52"/>
      <c r="F37" s="69" t="s">
        <v>1106</v>
      </c>
      <c r="G37" s="52"/>
      <c r="H37" s="52"/>
      <c r="I37" s="67" t="s">
        <v>1107</v>
      </c>
      <c r="J37" s="52"/>
      <c r="K37" s="52"/>
      <c r="L37" s="64" t="s">
        <v>1158</v>
      </c>
    </row>
    <row r="38">
      <c r="A38" s="68"/>
      <c r="B38" s="77"/>
      <c r="C38" s="52"/>
      <c r="D38" s="52"/>
      <c r="E38" s="78"/>
      <c r="F38" s="69"/>
      <c r="G38" s="52"/>
      <c r="H38" s="52"/>
      <c r="I38" s="52"/>
      <c r="J38" s="52"/>
      <c r="K38" s="52"/>
      <c r="L38" s="52"/>
    </row>
    <row r="39">
      <c r="A39" s="79" t="s">
        <v>1159</v>
      </c>
      <c r="B39" s="74" t="s">
        <v>1139</v>
      </c>
      <c r="C39" s="52"/>
      <c r="D39" s="52"/>
      <c r="E39" s="78"/>
      <c r="F39" s="75" t="s">
        <v>1139</v>
      </c>
      <c r="G39" s="52"/>
      <c r="H39" s="52"/>
      <c r="I39" s="74" t="s">
        <v>1139</v>
      </c>
      <c r="J39" s="52"/>
      <c r="K39" s="52"/>
      <c r="L39" s="74" t="s">
        <v>1139</v>
      </c>
    </row>
    <row r="40">
      <c r="A40" s="80" t="s">
        <v>390</v>
      </c>
      <c r="B40" s="72" t="s">
        <v>1160</v>
      </c>
      <c r="C40" s="52"/>
      <c r="D40" s="52"/>
      <c r="E40" s="78"/>
      <c r="F40" s="69" t="s">
        <v>705</v>
      </c>
      <c r="G40" s="52"/>
      <c r="H40" s="52"/>
      <c r="I40" s="64" t="s">
        <v>880</v>
      </c>
      <c r="J40" s="52"/>
      <c r="K40" s="52"/>
      <c r="L40" s="64" t="s">
        <v>894</v>
      </c>
    </row>
    <row r="41">
      <c r="A41" s="80" t="s">
        <v>662</v>
      </c>
      <c r="B41" s="72" t="s">
        <v>579</v>
      </c>
      <c r="C41" s="52"/>
      <c r="D41" s="52"/>
      <c r="E41" s="78"/>
      <c r="F41" s="69" t="s">
        <v>1117</v>
      </c>
      <c r="G41" s="52"/>
      <c r="H41" s="52"/>
      <c r="I41" s="64" t="s">
        <v>1107</v>
      </c>
      <c r="J41" s="52"/>
      <c r="K41" s="52"/>
      <c r="L41" s="64" t="s">
        <v>1101</v>
      </c>
    </row>
    <row r="42">
      <c r="A42" s="80" t="s">
        <v>1161</v>
      </c>
      <c r="B42" s="72" t="s">
        <v>1162</v>
      </c>
      <c r="C42" s="52"/>
      <c r="D42" s="52"/>
      <c r="E42" s="78"/>
      <c r="F42" s="81" t="s">
        <v>1163</v>
      </c>
      <c r="G42" s="52"/>
      <c r="H42" s="52"/>
      <c r="I42" s="64" t="s">
        <v>1164</v>
      </c>
      <c r="J42" s="52"/>
      <c r="K42" s="52"/>
      <c r="L42" s="64" t="s">
        <v>1164</v>
      </c>
    </row>
    <row r="43">
      <c r="A43" s="52"/>
      <c r="B43" s="77"/>
      <c r="C43" s="52"/>
      <c r="D43" s="52"/>
      <c r="E43" s="78"/>
      <c r="F43" s="52"/>
      <c r="G43" s="52"/>
      <c r="H43" s="52"/>
      <c r="I43" s="52"/>
      <c r="J43" s="52"/>
      <c r="K43" s="52"/>
      <c r="L43" s="52"/>
    </row>
    <row r="44">
      <c r="A44" s="79" t="s">
        <v>1165</v>
      </c>
      <c r="B44" s="74" t="s">
        <v>1139</v>
      </c>
      <c r="C44" s="52"/>
      <c r="D44" s="52"/>
      <c r="E44" s="78"/>
      <c r="F44" s="75" t="s">
        <v>1139</v>
      </c>
      <c r="G44" s="52"/>
      <c r="H44" s="52"/>
      <c r="I44" s="52"/>
      <c r="J44" s="52"/>
      <c r="K44" s="52"/>
      <c r="L44" s="52"/>
    </row>
    <row r="45">
      <c r="A45" s="62" t="s">
        <v>1166</v>
      </c>
      <c r="B45" s="64" t="s">
        <v>1167</v>
      </c>
      <c r="C45" s="52"/>
      <c r="D45" s="52"/>
      <c r="E45" s="78"/>
      <c r="F45" s="67" t="s">
        <v>708</v>
      </c>
      <c r="G45" s="52"/>
      <c r="H45" s="52"/>
      <c r="I45" s="52"/>
      <c r="J45" s="52"/>
      <c r="K45" s="52"/>
      <c r="L45" s="52"/>
    </row>
    <row r="46">
      <c r="A46" s="80" t="s">
        <v>1168</v>
      </c>
      <c r="B46" s="64" t="s">
        <v>1169</v>
      </c>
      <c r="C46" s="52"/>
      <c r="D46" s="52"/>
      <c r="E46" s="78"/>
      <c r="F46" s="67" t="s">
        <v>266</v>
      </c>
      <c r="G46" s="52"/>
      <c r="H46" s="52"/>
      <c r="I46" s="52"/>
      <c r="J46" s="52"/>
      <c r="K46" s="52"/>
      <c r="L46" s="52"/>
    </row>
    <row r="47">
      <c r="A47" s="82" t="s">
        <v>615</v>
      </c>
      <c r="B47" s="64" t="s">
        <v>1170</v>
      </c>
      <c r="C47" s="52"/>
      <c r="D47" s="52"/>
      <c r="E47" s="78"/>
      <c r="F47" s="83" t="s">
        <v>1171</v>
      </c>
      <c r="G47" s="52"/>
      <c r="H47" s="52"/>
      <c r="I47" s="52"/>
      <c r="J47" s="52"/>
      <c r="K47" s="52"/>
      <c r="L47" s="52"/>
    </row>
    <row r="48">
      <c r="A48" s="52"/>
      <c r="B48" s="52"/>
      <c r="C48" s="52"/>
      <c r="D48" s="52"/>
      <c r="E48" s="78"/>
      <c r="F48" s="52"/>
      <c r="G48" s="52"/>
      <c r="H48" s="52"/>
      <c r="I48" s="52"/>
      <c r="J48" s="52"/>
      <c r="K48" s="52"/>
      <c r="L48" s="52"/>
    </row>
    <row r="49">
      <c r="A49" s="52"/>
      <c r="B49" s="74" t="s">
        <v>1139</v>
      </c>
      <c r="C49" s="52"/>
      <c r="D49" s="52"/>
      <c r="E49" s="78"/>
      <c r="F49" s="52"/>
      <c r="G49" s="52"/>
      <c r="H49" s="52"/>
      <c r="I49" s="52"/>
      <c r="J49" s="52"/>
      <c r="K49" s="52"/>
      <c r="L49" s="52"/>
    </row>
    <row r="50">
      <c r="A50" s="52"/>
      <c r="B50" s="64" t="s">
        <v>1172</v>
      </c>
      <c r="C50" s="52"/>
      <c r="D50" s="52"/>
      <c r="E50" s="78"/>
      <c r="F50" s="52"/>
      <c r="G50" s="52"/>
      <c r="H50" s="52"/>
      <c r="I50" s="52"/>
      <c r="J50" s="52"/>
      <c r="K50" s="52"/>
      <c r="L50" s="52"/>
    </row>
    <row r="51">
      <c r="A51" s="52"/>
      <c r="B51" s="64" t="s">
        <v>1173</v>
      </c>
      <c r="C51" s="52"/>
      <c r="D51" s="52"/>
      <c r="E51" s="78"/>
      <c r="F51" s="52"/>
      <c r="G51" s="52"/>
      <c r="H51" s="52"/>
      <c r="I51" s="52"/>
      <c r="J51" s="52"/>
      <c r="K51" s="52"/>
      <c r="L51" s="52"/>
    </row>
    <row r="52">
      <c r="A52" s="52"/>
      <c r="B52" s="64" t="s">
        <v>1174</v>
      </c>
      <c r="C52" s="52"/>
      <c r="D52" s="52"/>
      <c r="E52" s="78"/>
      <c r="F52" s="52"/>
      <c r="G52" s="52"/>
      <c r="H52" s="52"/>
      <c r="I52" s="52"/>
      <c r="J52" s="52"/>
      <c r="K52" s="52"/>
      <c r="L52" s="52"/>
    </row>
    <row r="53">
      <c r="A53" s="52"/>
      <c r="B53" s="52"/>
      <c r="C53" s="52"/>
      <c r="D53" s="52"/>
      <c r="E53" s="78"/>
      <c r="F53" s="52"/>
      <c r="G53" s="52"/>
      <c r="H53" s="52"/>
      <c r="I53" s="52"/>
      <c r="J53" s="52"/>
      <c r="K53" s="52"/>
      <c r="L53" s="52"/>
    </row>
    <row r="54">
      <c r="A54" s="84" t="s">
        <v>1175</v>
      </c>
      <c r="B54" s="85" t="s">
        <v>1176</v>
      </c>
      <c r="C54" s="86" t="s">
        <v>1177</v>
      </c>
      <c r="D54" s="86" t="s">
        <v>1178</v>
      </c>
      <c r="E54" s="78"/>
      <c r="F54" s="87" t="s">
        <v>1179</v>
      </c>
      <c r="G54" s="86" t="s">
        <v>1180</v>
      </c>
      <c r="H54" s="88" t="s">
        <v>1181</v>
      </c>
      <c r="I54" s="87" t="s">
        <v>1179</v>
      </c>
      <c r="J54" s="52"/>
      <c r="K54" s="52"/>
      <c r="L54" s="89" t="s">
        <v>1182</v>
      </c>
    </row>
    <row r="55">
      <c r="A55" s="72" t="s">
        <v>388</v>
      </c>
      <c r="B55" s="63" t="s">
        <v>569</v>
      </c>
      <c r="C55" s="64" t="s">
        <v>1183</v>
      </c>
      <c r="D55" s="63" t="s">
        <v>1184</v>
      </c>
      <c r="E55" s="78"/>
      <c r="F55" s="64" t="s">
        <v>863</v>
      </c>
      <c r="G55" s="63" t="s">
        <v>1185</v>
      </c>
      <c r="H55" s="69" t="s">
        <v>726</v>
      </c>
      <c r="I55" s="64" t="s">
        <v>877</v>
      </c>
      <c r="J55" s="52"/>
      <c r="K55" s="52"/>
      <c r="L55" s="64" t="s">
        <v>1186</v>
      </c>
    </row>
    <row r="56">
      <c r="A56" s="72" t="s">
        <v>368</v>
      </c>
      <c r="B56" s="63" t="s">
        <v>1187</v>
      </c>
      <c r="C56" s="64" t="s">
        <v>1188</v>
      </c>
      <c r="D56" s="63" t="s">
        <v>1124</v>
      </c>
      <c r="E56" s="78"/>
      <c r="F56" s="64" t="s">
        <v>1101</v>
      </c>
      <c r="G56" s="63" t="s">
        <v>1100</v>
      </c>
      <c r="H56" s="69" t="s">
        <v>1090</v>
      </c>
      <c r="I56" s="64" t="s">
        <v>1106</v>
      </c>
      <c r="J56" s="52"/>
      <c r="K56" s="52"/>
      <c r="L56" s="64" t="s">
        <v>145</v>
      </c>
    </row>
    <row r="57">
      <c r="A57" s="72" t="s">
        <v>1189</v>
      </c>
      <c r="B57" s="63" t="s">
        <v>1190</v>
      </c>
      <c r="C57" s="64" t="s">
        <v>1191</v>
      </c>
      <c r="D57" s="63" t="s">
        <v>1106</v>
      </c>
      <c r="E57" s="90"/>
      <c r="F57" s="64" t="s">
        <v>1164</v>
      </c>
      <c r="G57" s="52"/>
      <c r="H57" s="52"/>
      <c r="I57" s="64" t="s">
        <v>1129</v>
      </c>
      <c r="J57" s="52"/>
      <c r="K57" s="52"/>
      <c r="L57" s="64" t="s">
        <v>1174</v>
      </c>
    </row>
    <row r="58">
      <c r="A58" s="52"/>
      <c r="B58" s="63"/>
      <c r="C58" s="52"/>
      <c r="D58" s="52"/>
      <c r="E58" s="52"/>
      <c r="F58" s="52"/>
      <c r="G58" s="52"/>
      <c r="H58" s="52"/>
      <c r="I58" s="52"/>
      <c r="J58" s="52"/>
      <c r="K58" s="52"/>
      <c r="L58" s="52"/>
    </row>
    <row r="59">
      <c r="A59" s="84" t="s">
        <v>1192</v>
      </c>
      <c r="B59" s="86" t="s">
        <v>1193</v>
      </c>
      <c r="C59" s="86" t="s">
        <v>1177</v>
      </c>
      <c r="D59" s="52"/>
      <c r="E59" s="52"/>
      <c r="F59" s="52"/>
      <c r="G59" s="52"/>
      <c r="H59" s="91" t="s">
        <v>1194</v>
      </c>
      <c r="I59" s="52"/>
      <c r="J59" s="52"/>
      <c r="K59" s="52"/>
      <c r="L59" s="87" t="s">
        <v>1179</v>
      </c>
    </row>
    <row r="60">
      <c r="A60" s="62" t="s">
        <v>1132</v>
      </c>
      <c r="B60" s="63" t="s">
        <v>548</v>
      </c>
      <c r="C60" s="64" t="s">
        <v>846</v>
      </c>
      <c r="D60" s="52"/>
      <c r="E60" s="52"/>
      <c r="F60" s="52"/>
      <c r="G60" s="52"/>
      <c r="H60" s="69" t="s">
        <v>720</v>
      </c>
      <c r="I60" s="52"/>
      <c r="J60" s="52"/>
      <c r="K60" s="52"/>
      <c r="L60" s="64" t="s">
        <v>892</v>
      </c>
    </row>
    <row r="61">
      <c r="A61" s="62" t="s">
        <v>639</v>
      </c>
      <c r="B61" s="63" t="s">
        <v>1164</v>
      </c>
      <c r="C61" s="64" t="s">
        <v>1107</v>
      </c>
      <c r="D61" s="52"/>
      <c r="E61" s="52"/>
      <c r="F61" s="52"/>
      <c r="G61" s="52"/>
      <c r="H61" s="69" t="s">
        <v>722</v>
      </c>
      <c r="I61" s="52"/>
      <c r="J61" s="52"/>
      <c r="K61" s="52"/>
      <c r="L61" s="64" t="s">
        <v>1106</v>
      </c>
    </row>
    <row r="62">
      <c r="A62" s="62" t="s">
        <v>645</v>
      </c>
      <c r="B62" s="65"/>
      <c r="C62" s="64" t="s">
        <v>1164</v>
      </c>
      <c r="D62" s="52"/>
      <c r="E62" s="52"/>
      <c r="F62" s="52"/>
      <c r="G62" s="52"/>
      <c r="H62" s="67" t="s">
        <v>666</v>
      </c>
      <c r="I62" s="52"/>
      <c r="J62" s="52"/>
      <c r="K62" s="52"/>
      <c r="L62" s="64" t="s">
        <v>1134</v>
      </c>
    </row>
    <row r="63">
      <c r="A63" s="68"/>
      <c r="B63" s="63"/>
      <c r="C63" s="52"/>
      <c r="D63" s="52"/>
      <c r="E63" s="52"/>
      <c r="F63" s="52"/>
      <c r="G63" s="52"/>
      <c r="H63" s="69"/>
      <c r="I63" s="52"/>
      <c r="J63" s="52"/>
      <c r="K63" s="52"/>
      <c r="L63" s="52"/>
    </row>
    <row r="64">
      <c r="A64" s="84" t="s">
        <v>1195</v>
      </c>
      <c r="B64" s="86" t="s">
        <v>1177</v>
      </c>
      <c r="C64" s="52"/>
      <c r="D64" s="52"/>
      <c r="E64" s="52"/>
      <c r="F64" s="52"/>
      <c r="G64" s="52"/>
      <c r="H64" s="87" t="s">
        <v>1179</v>
      </c>
      <c r="I64" s="52"/>
      <c r="J64" s="52"/>
      <c r="K64" s="52"/>
      <c r="L64" s="87" t="s">
        <v>1179</v>
      </c>
    </row>
    <row r="65">
      <c r="A65" s="62" t="s">
        <v>563</v>
      </c>
      <c r="B65" s="67" t="s">
        <v>1196</v>
      </c>
      <c r="C65" s="52"/>
      <c r="D65" s="52"/>
      <c r="E65" s="52"/>
      <c r="F65" s="52"/>
      <c r="G65" s="52"/>
      <c r="H65" s="67" t="s">
        <v>1197</v>
      </c>
      <c r="I65" s="52"/>
      <c r="J65" s="52"/>
      <c r="K65" s="52"/>
      <c r="L65" s="64" t="s">
        <v>756</v>
      </c>
    </row>
    <row r="66">
      <c r="A66" s="62" t="s">
        <v>566</v>
      </c>
      <c r="B66" s="67" t="s">
        <v>1196</v>
      </c>
      <c r="C66" s="52"/>
      <c r="D66" s="52"/>
      <c r="E66" s="52"/>
      <c r="F66" s="52"/>
      <c r="G66" s="52"/>
      <c r="H66" s="67" t="s">
        <v>532</v>
      </c>
      <c r="I66" s="52"/>
      <c r="J66" s="52"/>
      <c r="K66" s="52"/>
      <c r="L66" s="64" t="s">
        <v>633</v>
      </c>
    </row>
    <row r="67">
      <c r="A67" s="62" t="s">
        <v>569</v>
      </c>
      <c r="B67" s="67" t="s">
        <v>1196</v>
      </c>
      <c r="C67" s="52"/>
      <c r="D67" s="52"/>
      <c r="E67" s="52"/>
      <c r="F67" s="52"/>
      <c r="G67" s="52"/>
      <c r="H67" s="67" t="s">
        <v>1196</v>
      </c>
      <c r="I67" s="52"/>
      <c r="J67" s="52"/>
      <c r="K67" s="52"/>
      <c r="L67" s="64" t="s">
        <v>666</v>
      </c>
    </row>
    <row r="68">
      <c r="A68" s="52"/>
      <c r="B68" s="77"/>
      <c r="C68" s="52"/>
      <c r="D68" s="52"/>
      <c r="E68" s="52"/>
      <c r="F68" s="52"/>
      <c r="G68" s="52"/>
      <c r="H68" s="52"/>
      <c r="I68" s="52"/>
      <c r="J68" s="52"/>
      <c r="K68" s="52"/>
      <c r="L68" s="52"/>
    </row>
    <row r="69">
      <c r="A69" s="89" t="s">
        <v>1198</v>
      </c>
      <c r="B69" s="86" t="s">
        <v>1177</v>
      </c>
      <c r="C69" s="52"/>
      <c r="D69" s="52"/>
      <c r="E69" s="52"/>
      <c r="F69" s="52"/>
      <c r="G69" s="52"/>
      <c r="H69" s="87" t="s">
        <v>1179</v>
      </c>
      <c r="I69" s="52"/>
      <c r="J69" s="52"/>
      <c r="K69" s="52"/>
      <c r="L69" s="52"/>
    </row>
    <row r="70">
      <c r="A70" s="64" t="s">
        <v>248</v>
      </c>
      <c r="B70" s="64" t="s">
        <v>764</v>
      </c>
      <c r="C70" s="52"/>
      <c r="D70" s="52"/>
      <c r="E70" s="52"/>
      <c r="F70" s="52"/>
      <c r="G70" s="52"/>
      <c r="H70" s="64" t="s">
        <v>872</v>
      </c>
      <c r="I70" s="52"/>
      <c r="J70" s="52"/>
      <c r="K70" s="52"/>
      <c r="L70" s="52"/>
    </row>
    <row r="71">
      <c r="A71" s="64" t="s">
        <v>254</v>
      </c>
      <c r="B71" s="64" t="s">
        <v>768</v>
      </c>
      <c r="C71" s="52"/>
      <c r="D71" s="52"/>
      <c r="E71" s="52"/>
      <c r="F71" s="52"/>
      <c r="G71" s="52"/>
      <c r="H71" s="64" t="s">
        <v>1106</v>
      </c>
      <c r="I71" s="52"/>
      <c r="J71" s="52"/>
      <c r="K71" s="52"/>
      <c r="L71" s="52"/>
    </row>
    <row r="72">
      <c r="A72" s="64" t="s">
        <v>655</v>
      </c>
      <c r="B72" s="64" t="s">
        <v>539</v>
      </c>
      <c r="C72" s="52"/>
      <c r="D72" s="52"/>
      <c r="E72" s="52"/>
      <c r="F72" s="52"/>
      <c r="G72" s="52"/>
      <c r="H72" s="64" t="s">
        <v>1129</v>
      </c>
      <c r="I72" s="52"/>
      <c r="J72" s="52"/>
      <c r="K72" s="52"/>
      <c r="L72" s="52"/>
    </row>
    <row r="73">
      <c r="A73" s="52"/>
      <c r="B73" s="77"/>
      <c r="C73" s="52"/>
      <c r="D73" s="52"/>
      <c r="E73" s="52"/>
      <c r="F73" s="52"/>
      <c r="G73" s="52"/>
      <c r="H73" s="52"/>
      <c r="I73" s="52"/>
      <c r="J73" s="52"/>
      <c r="K73" s="52"/>
      <c r="L73" s="52"/>
    </row>
    <row r="74">
      <c r="A74" s="89" t="s">
        <v>1199</v>
      </c>
      <c r="B74" s="52"/>
      <c r="C74" s="52"/>
      <c r="D74" s="52"/>
      <c r="E74" s="52"/>
      <c r="F74" s="52"/>
      <c r="G74" s="52"/>
      <c r="H74" s="52"/>
      <c r="I74" s="52"/>
      <c r="J74" s="52"/>
      <c r="K74" s="52"/>
      <c r="L74" s="52"/>
    </row>
    <row r="75">
      <c r="A75" s="72" t="s">
        <v>548</v>
      </c>
      <c r="B75" s="52"/>
      <c r="C75" s="52"/>
      <c r="D75" s="52"/>
      <c r="E75" s="52"/>
      <c r="F75" s="52"/>
      <c r="G75" s="52"/>
      <c r="H75" s="52"/>
      <c r="I75" s="52"/>
      <c r="J75" s="52"/>
      <c r="K75" s="52"/>
      <c r="L75" s="52"/>
    </row>
    <row r="76">
      <c r="A76" s="72" t="s">
        <v>647</v>
      </c>
      <c r="B76" s="52"/>
      <c r="C76" s="52"/>
      <c r="D76" s="52"/>
      <c r="E76" s="52"/>
      <c r="F76" s="52"/>
      <c r="G76" s="52"/>
      <c r="H76" s="52"/>
      <c r="I76" s="52"/>
      <c r="J76" s="52"/>
      <c r="K76" s="52"/>
      <c r="L76" s="52"/>
    </row>
    <row r="77">
      <c r="A77" s="72" t="s">
        <v>650</v>
      </c>
      <c r="B77" s="52"/>
      <c r="C77" s="52"/>
      <c r="D77" s="52"/>
      <c r="E77" s="52"/>
      <c r="F77" s="52"/>
      <c r="G77" s="52"/>
      <c r="H77" s="52"/>
      <c r="I77" s="52"/>
      <c r="J77" s="52"/>
      <c r="K77" s="52"/>
      <c r="L77" s="52"/>
    </row>
    <row r="78">
      <c r="A78" s="52"/>
      <c r="B78" s="77"/>
      <c r="C78" s="52"/>
      <c r="D78" s="52"/>
      <c r="E78" s="52"/>
      <c r="F78" s="52"/>
      <c r="G78" s="52"/>
      <c r="H78" s="52"/>
      <c r="I78" s="52"/>
      <c r="J78" s="52"/>
      <c r="K78" s="52"/>
      <c r="L78" s="52"/>
    </row>
    <row r="79">
      <c r="A79" s="92" t="s">
        <v>1200</v>
      </c>
      <c r="B79" s="93" t="s">
        <v>1201</v>
      </c>
      <c r="C79" s="52"/>
      <c r="D79" s="93" t="s">
        <v>1201</v>
      </c>
      <c r="E79" s="94" t="s">
        <v>1202</v>
      </c>
      <c r="F79" s="95" t="s">
        <v>1203</v>
      </c>
      <c r="G79" s="96" t="s">
        <v>1204</v>
      </c>
      <c r="H79" s="97" t="s">
        <v>1201</v>
      </c>
      <c r="I79" s="52"/>
      <c r="J79" s="97" t="s">
        <v>1201</v>
      </c>
      <c r="K79" s="97" t="s">
        <v>1205</v>
      </c>
      <c r="L79" s="52"/>
    </row>
    <row r="80">
      <c r="A80" s="62" t="s">
        <v>390</v>
      </c>
      <c r="B80" s="72" t="s">
        <v>1206</v>
      </c>
      <c r="C80" s="52"/>
      <c r="D80" s="64" t="s">
        <v>851</v>
      </c>
      <c r="E80" s="98" t="s">
        <v>700</v>
      </c>
      <c r="F80" s="69" t="s">
        <v>705</v>
      </c>
      <c r="G80" s="63" t="s">
        <v>716</v>
      </c>
      <c r="H80" s="64" t="s">
        <v>875</v>
      </c>
      <c r="I80" s="52"/>
      <c r="J80" s="64" t="s">
        <v>1207</v>
      </c>
      <c r="K80" s="64" t="s">
        <v>1208</v>
      </c>
      <c r="L80" s="52"/>
    </row>
    <row r="81">
      <c r="A81" s="62" t="s">
        <v>1209</v>
      </c>
      <c r="B81" s="72" t="s">
        <v>546</v>
      </c>
      <c r="C81" s="52"/>
      <c r="D81" s="64" t="s">
        <v>1101</v>
      </c>
      <c r="E81" s="98" t="s">
        <v>1210</v>
      </c>
      <c r="F81" s="69" t="s">
        <v>566</v>
      </c>
      <c r="G81" s="66" t="s">
        <v>666</v>
      </c>
      <c r="H81" s="64" t="s">
        <v>1100</v>
      </c>
      <c r="I81" s="52"/>
      <c r="J81" s="64" t="s">
        <v>1211</v>
      </c>
      <c r="K81" s="64" t="s">
        <v>1212</v>
      </c>
      <c r="L81" s="52"/>
    </row>
    <row r="82">
      <c r="A82" s="62" t="s">
        <v>607</v>
      </c>
      <c r="B82" s="72" t="s">
        <v>1213</v>
      </c>
      <c r="C82" s="52"/>
      <c r="D82" s="64" t="s">
        <v>1164</v>
      </c>
      <c r="E82" s="98"/>
      <c r="F82" s="52"/>
      <c r="G82" s="71" t="s">
        <v>1162</v>
      </c>
      <c r="H82" s="64" t="s">
        <v>1164</v>
      </c>
      <c r="I82" s="52"/>
      <c r="J82" s="64" t="s">
        <v>1214</v>
      </c>
      <c r="K82" s="64" t="s">
        <v>1215</v>
      </c>
      <c r="L82" s="52"/>
    </row>
    <row r="83">
      <c r="A83" s="68"/>
      <c r="B83" s="77"/>
      <c r="C83" s="52"/>
      <c r="D83" s="52"/>
      <c r="E83" s="98"/>
      <c r="F83" s="52"/>
      <c r="G83" s="52"/>
      <c r="H83" s="52"/>
      <c r="I83" s="52"/>
      <c r="J83" s="52"/>
      <c r="K83" s="52"/>
      <c r="L83" s="52"/>
    </row>
    <row r="84">
      <c r="A84" s="92" t="s">
        <v>1216</v>
      </c>
      <c r="B84" s="93" t="s">
        <v>1201</v>
      </c>
      <c r="C84" s="52"/>
      <c r="D84" s="52"/>
      <c r="E84" s="93" t="s">
        <v>1217</v>
      </c>
      <c r="F84" s="52"/>
      <c r="G84" s="97" t="s">
        <v>1201</v>
      </c>
      <c r="H84" s="52"/>
      <c r="I84" s="52"/>
      <c r="J84" s="97" t="s">
        <v>1201</v>
      </c>
      <c r="K84" s="97" t="s">
        <v>1201</v>
      </c>
      <c r="L84" s="52"/>
    </row>
    <row r="85">
      <c r="A85" s="62" t="s">
        <v>1166</v>
      </c>
      <c r="B85" s="64" t="s">
        <v>1218</v>
      </c>
      <c r="C85" s="52"/>
      <c r="D85" s="52"/>
      <c r="E85" s="98" t="s">
        <v>698</v>
      </c>
      <c r="F85" s="52"/>
      <c r="G85" s="64" t="s">
        <v>712</v>
      </c>
      <c r="H85" s="52"/>
      <c r="I85" s="52"/>
      <c r="J85" s="64" t="s">
        <v>885</v>
      </c>
      <c r="K85" s="64" t="s">
        <v>890</v>
      </c>
      <c r="L85" s="52"/>
    </row>
    <row r="86">
      <c r="A86" s="62" t="s">
        <v>1219</v>
      </c>
      <c r="B86" s="64" t="s">
        <v>666</v>
      </c>
      <c r="C86" s="52"/>
      <c r="D86" s="52"/>
      <c r="E86" s="98" t="s">
        <v>1220</v>
      </c>
      <c r="F86" s="52"/>
      <c r="G86" s="64" t="s">
        <v>1221</v>
      </c>
      <c r="H86" s="52"/>
      <c r="I86" s="52"/>
      <c r="J86" s="64" t="s">
        <v>1134</v>
      </c>
      <c r="K86" s="64" t="s">
        <v>1129</v>
      </c>
      <c r="L86" s="52"/>
    </row>
    <row r="87">
      <c r="A87" s="99" t="s">
        <v>1222</v>
      </c>
      <c r="B87" s="64" t="s">
        <v>1223</v>
      </c>
      <c r="C87" s="52"/>
      <c r="D87" s="52"/>
      <c r="E87" s="98" t="s">
        <v>1224</v>
      </c>
      <c r="F87" s="52"/>
      <c r="G87" s="64" t="s">
        <v>1129</v>
      </c>
      <c r="H87" s="52"/>
      <c r="I87" s="52"/>
      <c r="J87" s="64" t="s">
        <v>1115</v>
      </c>
      <c r="K87" s="64" t="s">
        <v>1134</v>
      </c>
      <c r="L87" s="52"/>
    </row>
    <row r="88">
      <c r="A88" s="52"/>
      <c r="B88" s="52"/>
      <c r="C88" s="52"/>
      <c r="D88" s="52"/>
      <c r="E88" s="98"/>
      <c r="F88" s="52"/>
      <c r="G88" s="52"/>
      <c r="H88" s="52"/>
      <c r="I88" s="52"/>
      <c r="J88" s="52"/>
      <c r="K88" s="52"/>
      <c r="L88" s="52"/>
    </row>
    <row r="89">
      <c r="A89" s="92" t="s">
        <v>1225</v>
      </c>
      <c r="B89" s="77"/>
      <c r="C89" s="52"/>
      <c r="D89" s="52"/>
      <c r="E89" s="93" t="s">
        <v>1201</v>
      </c>
      <c r="F89" s="52"/>
      <c r="G89" s="52"/>
      <c r="H89" s="52"/>
      <c r="I89" s="52"/>
      <c r="J89" s="52"/>
      <c r="K89" s="97" t="s">
        <v>1201</v>
      </c>
      <c r="L89" s="52"/>
    </row>
    <row r="90">
      <c r="A90" s="64" t="s">
        <v>392</v>
      </c>
      <c r="B90" s="77"/>
      <c r="C90" s="52"/>
      <c r="D90" s="52"/>
      <c r="E90" s="98" t="s">
        <v>700</v>
      </c>
      <c r="F90" s="52"/>
      <c r="G90" s="52"/>
      <c r="H90" s="52"/>
      <c r="I90" s="52"/>
      <c r="J90" s="52"/>
      <c r="K90" s="64" t="s">
        <v>748</v>
      </c>
      <c r="L90" s="52"/>
    </row>
    <row r="91">
      <c r="A91" s="64" t="s">
        <v>566</v>
      </c>
      <c r="B91" s="77"/>
      <c r="C91" s="52"/>
      <c r="D91" s="52"/>
      <c r="E91" s="98" t="s">
        <v>1226</v>
      </c>
      <c r="F91" s="52"/>
      <c r="G91" s="52"/>
      <c r="H91" s="52"/>
      <c r="I91" s="52"/>
      <c r="J91" s="52"/>
      <c r="K91" s="64" t="s">
        <v>1136</v>
      </c>
      <c r="L91" s="52"/>
    </row>
    <row r="92">
      <c r="A92" s="72" t="s">
        <v>666</v>
      </c>
      <c r="B92" s="77"/>
      <c r="C92" s="52"/>
      <c r="D92" s="52"/>
      <c r="E92" s="98" t="s">
        <v>1117</v>
      </c>
      <c r="F92" s="52"/>
      <c r="G92" s="52"/>
      <c r="H92" s="52"/>
      <c r="I92" s="52"/>
      <c r="J92" s="52"/>
      <c r="K92" s="64" t="s">
        <v>1136</v>
      </c>
      <c r="L92" s="52"/>
    </row>
    <row r="93">
      <c r="A93" s="77"/>
      <c r="B93" s="77"/>
      <c r="C93" s="52"/>
      <c r="D93" s="52"/>
      <c r="E93" s="52"/>
      <c r="F93" s="52"/>
      <c r="G93" s="52"/>
      <c r="H93" s="52"/>
      <c r="I93" s="52"/>
      <c r="J93" s="52"/>
      <c r="K93" s="52"/>
      <c r="L93" s="52"/>
    </row>
    <row r="94">
      <c r="A94" s="100" t="s">
        <v>1227</v>
      </c>
      <c r="B94" s="77"/>
      <c r="C94" s="52"/>
      <c r="D94" s="52"/>
      <c r="E94" s="93" t="s">
        <v>1201</v>
      </c>
      <c r="F94" s="52"/>
      <c r="G94" s="52"/>
      <c r="H94" s="52"/>
      <c r="I94" s="52"/>
      <c r="J94" s="52"/>
      <c r="K94" s="52"/>
      <c r="L94" s="52"/>
    </row>
    <row r="95">
      <c r="A95" s="64" t="s">
        <v>1228</v>
      </c>
      <c r="B95" s="77"/>
      <c r="C95" s="52"/>
      <c r="D95" s="52"/>
      <c r="E95" s="64" t="s">
        <v>857</v>
      </c>
      <c r="F95" s="52"/>
      <c r="G95" s="52"/>
      <c r="H95" s="52"/>
      <c r="I95" s="52"/>
      <c r="J95" s="52"/>
      <c r="K95" s="52"/>
      <c r="L95" s="52"/>
    </row>
    <row r="96">
      <c r="A96" s="64" t="s">
        <v>548</v>
      </c>
      <c r="B96" s="77"/>
      <c r="C96" s="52"/>
      <c r="D96" s="52"/>
      <c r="E96" s="64" t="s">
        <v>1106</v>
      </c>
      <c r="F96" s="52"/>
      <c r="G96" s="52"/>
      <c r="H96" s="52"/>
      <c r="I96" s="52"/>
      <c r="J96" s="52"/>
      <c r="K96" s="52"/>
      <c r="L96" s="52"/>
    </row>
    <row r="97">
      <c r="A97" s="72" t="s">
        <v>1229</v>
      </c>
      <c r="B97" s="77"/>
      <c r="C97" s="52"/>
      <c r="D97" s="52"/>
      <c r="E97" s="64" t="s">
        <v>1100</v>
      </c>
      <c r="F97" s="52"/>
      <c r="G97" s="52"/>
      <c r="H97" s="52"/>
      <c r="I97" s="52"/>
      <c r="J97" s="52"/>
      <c r="K97" s="52"/>
      <c r="L97" s="52"/>
    </row>
    <row r="98">
      <c r="A98" s="77"/>
      <c r="B98" s="77"/>
      <c r="C98" s="52"/>
      <c r="D98" s="52"/>
      <c r="E98" s="52"/>
      <c r="F98" s="52"/>
      <c r="G98" s="52"/>
      <c r="H98" s="52"/>
      <c r="I98" s="52"/>
      <c r="J98" s="52"/>
      <c r="K98" s="52"/>
      <c r="L98" s="52"/>
    </row>
    <row r="99">
      <c r="A99" s="77"/>
      <c r="B99" s="77"/>
      <c r="C99" s="52"/>
      <c r="D99" s="52"/>
      <c r="E99" s="52"/>
      <c r="F99" s="52"/>
      <c r="G99" s="52"/>
      <c r="H99" s="52"/>
      <c r="I99" s="52"/>
      <c r="J99" s="52"/>
      <c r="K99" s="52"/>
      <c r="L99" s="52"/>
    </row>
    <row r="100">
      <c r="A100" s="77"/>
      <c r="B100" s="77"/>
      <c r="C100" s="52"/>
      <c r="D100" s="52"/>
      <c r="E100" s="52"/>
      <c r="F100" s="52"/>
      <c r="G100" s="52"/>
      <c r="H100" s="52"/>
      <c r="I100" s="52"/>
      <c r="J100" s="52"/>
      <c r="K100" s="52"/>
      <c r="L100" s="52"/>
    </row>
    <row r="101">
      <c r="A101" s="77"/>
      <c r="B101" s="77"/>
      <c r="C101" s="52"/>
      <c r="D101" s="52"/>
      <c r="E101" s="52"/>
      <c r="F101" s="52"/>
      <c r="G101" s="52"/>
      <c r="H101" s="52"/>
      <c r="I101" s="52"/>
      <c r="J101" s="52"/>
      <c r="K101" s="52"/>
      <c r="L101" s="52"/>
    </row>
    <row r="102">
      <c r="A102" s="77"/>
      <c r="B102" s="77"/>
      <c r="C102" s="52"/>
      <c r="D102" s="52"/>
      <c r="E102" s="52"/>
      <c r="F102" s="52"/>
      <c r="G102" s="52"/>
      <c r="H102" s="52"/>
      <c r="I102" s="52"/>
      <c r="J102" s="52"/>
      <c r="K102" s="52"/>
      <c r="L102" s="52"/>
    </row>
    <row r="103">
      <c r="A103" s="77"/>
      <c r="B103" s="77"/>
      <c r="C103" s="52"/>
      <c r="D103" s="52"/>
      <c r="E103" s="52"/>
      <c r="F103" s="52"/>
      <c r="G103" s="52"/>
      <c r="H103" s="52"/>
      <c r="I103" s="52"/>
      <c r="J103" s="52"/>
      <c r="K103" s="52"/>
      <c r="L103" s="52"/>
    </row>
    <row r="104">
      <c r="A104" s="77"/>
      <c r="B104" s="77"/>
      <c r="C104" s="52"/>
      <c r="D104" s="52"/>
      <c r="E104" s="52"/>
      <c r="F104" s="52"/>
      <c r="G104" s="52"/>
      <c r="H104" s="52"/>
      <c r="I104" s="52"/>
      <c r="J104" s="52"/>
      <c r="K104" s="52"/>
      <c r="L104" s="52"/>
    </row>
    <row r="105">
      <c r="A105" s="77"/>
      <c r="B105" s="77"/>
      <c r="C105" s="52"/>
      <c r="D105" s="52"/>
      <c r="E105" s="52"/>
      <c r="F105" s="52"/>
      <c r="G105" s="52"/>
      <c r="H105" s="52"/>
      <c r="I105" s="52"/>
      <c r="J105" s="52"/>
      <c r="K105" s="52"/>
      <c r="L105" s="52"/>
    </row>
    <row r="106">
      <c r="A106" s="77"/>
      <c r="B106" s="77"/>
      <c r="C106" s="52"/>
      <c r="D106" s="52"/>
      <c r="E106" s="52"/>
      <c r="F106" s="52"/>
      <c r="G106" s="52"/>
      <c r="H106" s="52"/>
      <c r="I106" s="52"/>
      <c r="J106" s="52"/>
      <c r="K106" s="52"/>
      <c r="L106" s="52"/>
    </row>
    <row r="107">
      <c r="A107" s="77"/>
      <c r="B107" s="77"/>
      <c r="C107" s="52"/>
      <c r="D107" s="52"/>
      <c r="E107" s="52"/>
      <c r="F107" s="52"/>
      <c r="G107" s="52"/>
      <c r="H107" s="52"/>
      <c r="I107" s="52"/>
      <c r="J107" s="52"/>
      <c r="K107" s="52"/>
      <c r="L107" s="52"/>
    </row>
    <row r="108">
      <c r="A108" s="77"/>
      <c r="B108" s="77"/>
      <c r="C108" s="52"/>
      <c r="D108" s="52"/>
      <c r="E108" s="52"/>
      <c r="F108" s="52"/>
      <c r="G108" s="52"/>
      <c r="H108" s="52"/>
      <c r="I108" s="52"/>
      <c r="J108" s="52"/>
      <c r="K108" s="52"/>
      <c r="L108" s="52"/>
    </row>
    <row r="109">
      <c r="A109" s="77"/>
      <c r="B109" s="77"/>
      <c r="C109" s="52"/>
      <c r="D109" s="52"/>
      <c r="E109" s="52"/>
      <c r="F109" s="52"/>
      <c r="G109" s="52"/>
      <c r="H109" s="52"/>
      <c r="I109" s="52"/>
      <c r="J109" s="52"/>
      <c r="K109" s="52"/>
      <c r="L109" s="52"/>
    </row>
    <row r="110">
      <c r="A110" s="77"/>
      <c r="B110" s="77"/>
      <c r="C110" s="52"/>
      <c r="D110" s="52"/>
      <c r="E110" s="52"/>
      <c r="F110" s="52"/>
      <c r="G110" s="52"/>
      <c r="H110" s="52"/>
      <c r="I110" s="52"/>
      <c r="J110" s="52"/>
      <c r="K110" s="52"/>
      <c r="L110" s="52"/>
    </row>
    <row r="111">
      <c r="A111" s="77"/>
      <c r="B111" s="77"/>
      <c r="C111" s="52"/>
      <c r="D111" s="52"/>
      <c r="E111" s="52"/>
      <c r="F111" s="52"/>
      <c r="G111" s="52"/>
      <c r="H111" s="52"/>
      <c r="I111" s="52"/>
      <c r="J111" s="52"/>
      <c r="K111" s="52"/>
      <c r="L111" s="52"/>
    </row>
    <row r="112">
      <c r="A112" s="77"/>
      <c r="B112" s="77"/>
      <c r="C112" s="52"/>
      <c r="D112" s="52"/>
      <c r="E112" s="52"/>
      <c r="F112" s="52"/>
      <c r="G112" s="52"/>
      <c r="H112" s="52"/>
      <c r="I112" s="52"/>
      <c r="J112" s="52"/>
      <c r="K112" s="52"/>
      <c r="L112" s="52"/>
    </row>
    <row r="113">
      <c r="A113" s="77"/>
      <c r="B113" s="77"/>
      <c r="C113" s="52"/>
      <c r="D113" s="52"/>
      <c r="E113" s="52"/>
      <c r="F113" s="52"/>
      <c r="G113" s="52"/>
      <c r="H113" s="52"/>
      <c r="I113" s="52"/>
      <c r="J113" s="52"/>
      <c r="K113" s="52"/>
      <c r="L113" s="52"/>
    </row>
    <row r="114">
      <c r="A114" s="77"/>
      <c r="B114" s="77"/>
      <c r="C114" s="52"/>
      <c r="D114" s="52"/>
      <c r="E114" s="52"/>
      <c r="F114" s="52"/>
      <c r="G114" s="52"/>
      <c r="H114" s="52"/>
      <c r="I114" s="52"/>
      <c r="J114" s="52"/>
      <c r="K114" s="52"/>
      <c r="L114" s="52"/>
    </row>
    <row r="115">
      <c r="A115" s="77"/>
      <c r="B115" s="77"/>
      <c r="C115" s="52"/>
      <c r="D115" s="52"/>
      <c r="E115" s="52"/>
      <c r="F115" s="52"/>
      <c r="G115" s="52"/>
      <c r="H115" s="52"/>
      <c r="I115" s="52"/>
      <c r="J115" s="52"/>
      <c r="K115" s="52"/>
      <c r="L115" s="52"/>
    </row>
    <row r="116">
      <c r="A116" s="77"/>
      <c r="B116" s="77"/>
      <c r="C116" s="52"/>
      <c r="D116" s="52"/>
      <c r="E116" s="52"/>
      <c r="F116" s="52"/>
      <c r="G116" s="52"/>
      <c r="H116" s="52"/>
      <c r="I116" s="52"/>
      <c r="J116" s="52"/>
      <c r="K116" s="52"/>
      <c r="L116" s="52"/>
    </row>
    <row r="117">
      <c r="A117" s="77"/>
      <c r="B117" s="77"/>
      <c r="C117" s="52"/>
      <c r="D117" s="52"/>
      <c r="E117" s="52"/>
      <c r="F117" s="52"/>
      <c r="G117" s="52"/>
      <c r="H117" s="52"/>
      <c r="I117" s="52"/>
      <c r="J117" s="52"/>
      <c r="K117" s="52"/>
      <c r="L117" s="52"/>
    </row>
    <row r="118">
      <c r="A118" s="77"/>
      <c r="B118" s="77"/>
      <c r="C118" s="52"/>
      <c r="D118" s="52"/>
      <c r="E118" s="52"/>
      <c r="F118" s="52"/>
      <c r="G118" s="52"/>
      <c r="H118" s="52"/>
      <c r="I118" s="52"/>
      <c r="J118" s="52"/>
      <c r="K118" s="52"/>
      <c r="L118" s="52"/>
    </row>
    <row r="119">
      <c r="A119" s="77"/>
      <c r="B119" s="77"/>
      <c r="C119" s="52"/>
      <c r="D119" s="52"/>
      <c r="E119" s="52"/>
      <c r="F119" s="52"/>
      <c r="G119" s="52"/>
      <c r="H119" s="52"/>
      <c r="I119" s="52"/>
      <c r="J119" s="52"/>
      <c r="K119" s="52"/>
      <c r="L119" s="52"/>
    </row>
    <row r="120">
      <c r="A120" s="77"/>
      <c r="B120" s="77"/>
      <c r="C120" s="52"/>
      <c r="D120" s="52"/>
      <c r="E120" s="52"/>
      <c r="F120" s="52"/>
      <c r="G120" s="52"/>
      <c r="H120" s="52"/>
      <c r="I120" s="52"/>
      <c r="J120" s="52"/>
      <c r="K120" s="52"/>
      <c r="L120" s="52"/>
    </row>
    <row r="121">
      <c r="A121" s="77"/>
      <c r="B121" s="77"/>
      <c r="C121" s="52"/>
      <c r="D121" s="52"/>
      <c r="E121" s="52"/>
      <c r="F121" s="52"/>
      <c r="G121" s="52"/>
      <c r="H121" s="52"/>
      <c r="I121" s="52"/>
      <c r="J121" s="52"/>
      <c r="K121" s="52"/>
      <c r="L121" s="52"/>
    </row>
    <row r="122">
      <c r="A122" s="77"/>
      <c r="B122" s="77"/>
      <c r="C122" s="52"/>
      <c r="D122" s="52"/>
      <c r="E122" s="52"/>
      <c r="F122" s="52"/>
      <c r="G122" s="52"/>
      <c r="H122" s="52"/>
      <c r="I122" s="52"/>
      <c r="J122" s="52"/>
      <c r="K122" s="52"/>
      <c r="L122" s="52"/>
    </row>
    <row r="123">
      <c r="A123" s="77"/>
      <c r="B123" s="77"/>
      <c r="C123" s="52"/>
      <c r="D123" s="52"/>
      <c r="E123" s="52"/>
      <c r="F123" s="52"/>
      <c r="G123" s="52"/>
      <c r="H123" s="52"/>
      <c r="I123" s="52"/>
      <c r="J123" s="52"/>
      <c r="K123" s="52"/>
      <c r="L123" s="52"/>
    </row>
    <row r="124">
      <c r="A124" s="77"/>
      <c r="B124" s="77"/>
      <c r="C124" s="52"/>
      <c r="D124" s="52"/>
      <c r="E124" s="52"/>
      <c r="F124" s="52"/>
      <c r="G124" s="52"/>
      <c r="H124" s="52"/>
      <c r="I124" s="52"/>
      <c r="J124" s="52"/>
      <c r="K124" s="52"/>
      <c r="L124" s="52"/>
    </row>
    <row r="125">
      <c r="A125" s="77"/>
      <c r="B125" s="77"/>
      <c r="C125" s="52"/>
      <c r="D125" s="52"/>
      <c r="E125" s="52"/>
      <c r="F125" s="52"/>
      <c r="G125" s="52"/>
      <c r="H125" s="52"/>
      <c r="I125" s="52"/>
      <c r="J125" s="52"/>
      <c r="K125" s="52"/>
      <c r="L125" s="52"/>
    </row>
    <row r="126">
      <c r="A126" s="77"/>
      <c r="B126" s="77"/>
      <c r="C126" s="52"/>
      <c r="D126" s="52"/>
      <c r="E126" s="52"/>
      <c r="F126" s="52"/>
      <c r="G126" s="52"/>
      <c r="H126" s="52"/>
      <c r="I126" s="52"/>
      <c r="J126" s="52"/>
      <c r="K126" s="52"/>
      <c r="L126" s="52"/>
    </row>
    <row r="127">
      <c r="A127" s="77"/>
      <c r="B127" s="77"/>
      <c r="C127" s="52"/>
      <c r="D127" s="52"/>
      <c r="E127" s="52"/>
      <c r="F127" s="52"/>
      <c r="G127" s="52"/>
      <c r="H127" s="52"/>
      <c r="I127" s="52"/>
      <c r="J127" s="52"/>
      <c r="K127" s="52"/>
      <c r="L127" s="52"/>
    </row>
    <row r="128">
      <c r="A128" s="77"/>
      <c r="B128" s="77"/>
      <c r="C128" s="52"/>
      <c r="D128" s="52"/>
      <c r="E128" s="52"/>
      <c r="F128" s="52"/>
      <c r="G128" s="52"/>
      <c r="H128" s="52"/>
      <c r="I128" s="52"/>
      <c r="J128" s="52"/>
      <c r="K128" s="52"/>
      <c r="L128" s="52"/>
    </row>
    <row r="129">
      <c r="A129" s="77"/>
      <c r="B129" s="77"/>
      <c r="C129" s="52"/>
      <c r="D129" s="52"/>
      <c r="E129" s="52"/>
      <c r="F129" s="52"/>
      <c r="G129" s="52"/>
      <c r="H129" s="52"/>
      <c r="I129" s="52"/>
      <c r="J129" s="52"/>
      <c r="K129" s="52"/>
      <c r="L129" s="52"/>
    </row>
    <row r="130">
      <c r="A130" s="77"/>
      <c r="B130" s="77"/>
      <c r="C130" s="52"/>
      <c r="D130" s="52"/>
      <c r="E130" s="52"/>
      <c r="F130" s="52"/>
      <c r="G130" s="52"/>
      <c r="H130" s="52"/>
      <c r="I130" s="52"/>
      <c r="J130" s="52"/>
      <c r="K130" s="52"/>
      <c r="L130" s="52"/>
    </row>
    <row r="131">
      <c r="A131" s="77"/>
      <c r="B131" s="77"/>
      <c r="C131" s="52"/>
      <c r="D131" s="52"/>
      <c r="E131" s="52"/>
      <c r="F131" s="52"/>
      <c r="G131" s="52"/>
      <c r="H131" s="52"/>
      <c r="I131" s="52"/>
      <c r="J131" s="52"/>
      <c r="K131" s="52"/>
      <c r="L131" s="52"/>
    </row>
    <row r="132">
      <c r="A132" s="77"/>
      <c r="B132" s="77"/>
      <c r="C132" s="52"/>
      <c r="D132" s="52"/>
      <c r="E132" s="52"/>
      <c r="F132" s="52"/>
      <c r="G132" s="52"/>
      <c r="H132" s="52"/>
      <c r="I132" s="52"/>
      <c r="J132" s="52"/>
      <c r="K132" s="52"/>
      <c r="L132" s="52"/>
    </row>
    <row r="133">
      <c r="A133" s="77"/>
      <c r="B133" s="77"/>
      <c r="C133" s="52"/>
      <c r="D133" s="52"/>
      <c r="E133" s="52"/>
      <c r="F133" s="52"/>
      <c r="G133" s="52"/>
      <c r="H133" s="52"/>
      <c r="I133" s="52"/>
      <c r="J133" s="52"/>
      <c r="K133" s="52"/>
      <c r="L133" s="52"/>
    </row>
    <row r="134">
      <c r="A134" s="77"/>
      <c r="B134" s="77"/>
      <c r="C134" s="52"/>
      <c r="D134" s="52"/>
      <c r="E134" s="52"/>
      <c r="F134" s="52"/>
      <c r="G134" s="52"/>
      <c r="H134" s="52"/>
      <c r="I134" s="52"/>
      <c r="J134" s="52"/>
      <c r="K134" s="52"/>
      <c r="L134" s="52"/>
    </row>
    <row r="135">
      <c r="A135" s="77"/>
      <c r="B135" s="77"/>
      <c r="C135" s="52"/>
      <c r="D135" s="52"/>
      <c r="E135" s="52"/>
      <c r="F135" s="52"/>
      <c r="G135" s="52"/>
      <c r="H135" s="52"/>
      <c r="I135" s="52"/>
      <c r="J135" s="52"/>
      <c r="K135" s="52"/>
      <c r="L135" s="52"/>
    </row>
    <row r="136">
      <c r="A136" s="77"/>
      <c r="B136" s="77"/>
      <c r="C136" s="52"/>
      <c r="D136" s="52"/>
      <c r="E136" s="52"/>
      <c r="F136" s="52"/>
      <c r="G136" s="52"/>
      <c r="H136" s="52"/>
      <c r="I136" s="52"/>
      <c r="J136" s="52"/>
      <c r="K136" s="52"/>
      <c r="L136" s="52"/>
    </row>
    <row r="137">
      <c r="A137" s="77"/>
      <c r="B137" s="77"/>
      <c r="C137" s="52"/>
      <c r="D137" s="52"/>
      <c r="E137" s="52"/>
      <c r="F137" s="52"/>
      <c r="G137" s="52"/>
      <c r="H137" s="52"/>
      <c r="I137" s="52"/>
      <c r="J137" s="52"/>
      <c r="K137" s="52"/>
      <c r="L137" s="52"/>
    </row>
    <row r="138">
      <c r="A138" s="77"/>
      <c r="B138" s="77"/>
      <c r="C138" s="52"/>
      <c r="D138" s="52"/>
      <c r="E138" s="52"/>
      <c r="F138" s="52"/>
      <c r="G138" s="52"/>
      <c r="H138" s="52"/>
      <c r="I138" s="52"/>
      <c r="J138" s="52"/>
      <c r="K138" s="52"/>
      <c r="L138" s="52"/>
    </row>
    <row r="139">
      <c r="A139" s="77"/>
      <c r="B139" s="77"/>
      <c r="C139" s="52"/>
      <c r="D139" s="52"/>
      <c r="E139" s="52"/>
      <c r="F139" s="52"/>
      <c r="G139" s="52"/>
      <c r="H139" s="52"/>
      <c r="I139" s="52"/>
      <c r="J139" s="52"/>
      <c r="K139" s="52"/>
      <c r="L139" s="52"/>
    </row>
    <row r="140">
      <c r="A140" s="77"/>
      <c r="B140" s="77"/>
      <c r="C140" s="52"/>
      <c r="D140" s="52"/>
      <c r="E140" s="52"/>
      <c r="F140" s="52"/>
      <c r="G140" s="52"/>
      <c r="H140" s="52"/>
      <c r="I140" s="52"/>
      <c r="J140" s="52"/>
      <c r="K140" s="52"/>
      <c r="L140" s="52"/>
    </row>
    <row r="141">
      <c r="A141" s="77"/>
      <c r="B141" s="77"/>
      <c r="C141" s="52"/>
      <c r="D141" s="52"/>
      <c r="E141" s="52"/>
      <c r="F141" s="52"/>
      <c r="G141" s="52"/>
      <c r="H141" s="52"/>
      <c r="I141" s="52"/>
      <c r="J141" s="52"/>
      <c r="K141" s="52"/>
      <c r="L141" s="52"/>
    </row>
    <row r="142">
      <c r="A142" s="77"/>
      <c r="B142" s="77"/>
      <c r="C142" s="52"/>
      <c r="D142" s="52"/>
      <c r="E142" s="52"/>
      <c r="F142" s="52"/>
      <c r="G142" s="52"/>
      <c r="H142" s="52"/>
      <c r="I142" s="52"/>
      <c r="J142" s="52"/>
      <c r="K142" s="52"/>
      <c r="L142" s="52"/>
    </row>
    <row r="143">
      <c r="A143" s="77"/>
      <c r="B143" s="77"/>
      <c r="C143" s="52"/>
      <c r="D143" s="52"/>
      <c r="E143" s="52"/>
      <c r="F143" s="52"/>
      <c r="G143" s="52"/>
      <c r="H143" s="52"/>
      <c r="I143" s="52"/>
      <c r="J143" s="52"/>
      <c r="K143" s="52"/>
      <c r="L143" s="52"/>
    </row>
    <row r="144">
      <c r="A144" s="77"/>
      <c r="B144" s="77"/>
      <c r="C144" s="52"/>
      <c r="D144" s="52"/>
      <c r="E144" s="52"/>
      <c r="F144" s="52"/>
      <c r="G144" s="52"/>
      <c r="H144" s="52"/>
      <c r="I144" s="52"/>
      <c r="J144" s="52"/>
      <c r="K144" s="52"/>
      <c r="L144" s="52"/>
    </row>
    <row r="145">
      <c r="A145" s="77"/>
      <c r="B145" s="77"/>
      <c r="C145" s="52"/>
      <c r="D145" s="52"/>
      <c r="E145" s="52"/>
      <c r="F145" s="52"/>
      <c r="G145" s="52"/>
      <c r="H145" s="52"/>
      <c r="I145" s="52"/>
      <c r="J145" s="52"/>
      <c r="K145" s="52"/>
      <c r="L145" s="52"/>
    </row>
    <row r="146">
      <c r="A146" s="77"/>
      <c r="B146" s="77"/>
      <c r="C146" s="52"/>
      <c r="D146" s="52"/>
      <c r="E146" s="52"/>
      <c r="F146" s="52"/>
      <c r="G146" s="52"/>
      <c r="H146" s="52"/>
      <c r="I146" s="52"/>
      <c r="J146" s="52"/>
      <c r="K146" s="52"/>
      <c r="L146" s="52"/>
    </row>
    <row r="147">
      <c r="A147" s="77"/>
      <c r="B147" s="77"/>
      <c r="C147" s="52"/>
      <c r="D147" s="52"/>
      <c r="E147" s="52"/>
      <c r="F147" s="52"/>
      <c r="G147" s="52"/>
      <c r="H147" s="52"/>
      <c r="I147" s="52"/>
      <c r="J147" s="52"/>
      <c r="K147" s="52"/>
      <c r="L147" s="52"/>
    </row>
    <row r="148">
      <c r="A148" s="77"/>
      <c r="B148" s="77"/>
      <c r="C148" s="52"/>
      <c r="D148" s="52"/>
      <c r="E148" s="52"/>
      <c r="F148" s="52"/>
      <c r="G148" s="52"/>
      <c r="H148" s="52"/>
      <c r="I148" s="52"/>
      <c r="J148" s="52"/>
      <c r="K148" s="52"/>
      <c r="L148" s="52"/>
    </row>
    <row r="149">
      <c r="A149" s="77"/>
      <c r="B149" s="77"/>
      <c r="C149" s="52"/>
      <c r="D149" s="52"/>
      <c r="E149" s="52"/>
      <c r="F149" s="52"/>
      <c r="G149" s="52"/>
      <c r="H149" s="52"/>
      <c r="I149" s="52"/>
      <c r="J149" s="52"/>
      <c r="K149" s="52"/>
      <c r="L149" s="52"/>
    </row>
    <row r="150">
      <c r="A150" s="77"/>
      <c r="B150" s="77"/>
      <c r="C150" s="52"/>
      <c r="D150" s="52"/>
      <c r="E150" s="52"/>
      <c r="F150" s="52"/>
      <c r="G150" s="52"/>
      <c r="H150" s="52"/>
      <c r="I150" s="52"/>
      <c r="J150" s="52"/>
      <c r="K150" s="52"/>
      <c r="L150" s="52"/>
    </row>
    <row r="151">
      <c r="A151" s="77"/>
      <c r="B151" s="77"/>
      <c r="C151" s="52"/>
      <c r="D151" s="52"/>
      <c r="E151" s="52"/>
      <c r="F151" s="52"/>
      <c r="G151" s="52"/>
      <c r="H151" s="52"/>
      <c r="I151" s="52"/>
      <c r="J151" s="52"/>
      <c r="K151" s="52"/>
      <c r="L151" s="52"/>
    </row>
    <row r="152">
      <c r="A152" s="77"/>
      <c r="B152" s="77"/>
      <c r="C152" s="52"/>
      <c r="D152" s="52"/>
      <c r="E152" s="52"/>
      <c r="F152" s="52"/>
      <c r="G152" s="52"/>
      <c r="H152" s="52"/>
      <c r="I152" s="52"/>
      <c r="J152" s="52"/>
      <c r="K152" s="52"/>
      <c r="L152" s="52"/>
    </row>
    <row r="153">
      <c r="A153" s="77"/>
      <c r="B153" s="77"/>
      <c r="C153" s="52"/>
      <c r="D153" s="52"/>
      <c r="E153" s="52"/>
      <c r="F153" s="52"/>
      <c r="G153" s="52"/>
      <c r="H153" s="52"/>
      <c r="I153" s="52"/>
      <c r="J153" s="52"/>
      <c r="K153" s="52"/>
      <c r="L153" s="52"/>
    </row>
    <row r="154">
      <c r="A154" s="77"/>
      <c r="B154" s="77"/>
      <c r="C154" s="52"/>
      <c r="D154" s="52"/>
      <c r="E154" s="52"/>
      <c r="F154" s="52"/>
      <c r="G154" s="52"/>
      <c r="H154" s="52"/>
      <c r="I154" s="52"/>
      <c r="J154" s="52"/>
      <c r="K154" s="52"/>
      <c r="L154" s="52"/>
    </row>
    <row r="155">
      <c r="A155" s="77"/>
      <c r="B155" s="77"/>
      <c r="C155" s="52"/>
      <c r="D155" s="52"/>
      <c r="E155" s="52"/>
      <c r="F155" s="52"/>
      <c r="G155" s="52"/>
      <c r="H155" s="52"/>
      <c r="I155" s="52"/>
      <c r="J155" s="52"/>
      <c r="K155" s="52"/>
      <c r="L155" s="52"/>
    </row>
    <row r="156">
      <c r="A156" s="77"/>
      <c r="B156" s="77"/>
      <c r="C156" s="52"/>
      <c r="D156" s="52"/>
      <c r="E156" s="52"/>
      <c r="F156" s="52"/>
      <c r="G156" s="52"/>
      <c r="H156" s="52"/>
      <c r="I156" s="52"/>
      <c r="J156" s="52"/>
      <c r="K156" s="52"/>
      <c r="L156" s="52"/>
    </row>
    <row r="157">
      <c r="A157" s="77"/>
      <c r="B157" s="77"/>
      <c r="C157" s="52"/>
      <c r="D157" s="52"/>
      <c r="E157" s="52"/>
      <c r="F157" s="52"/>
      <c r="G157" s="52"/>
      <c r="H157" s="52"/>
      <c r="I157" s="52"/>
      <c r="J157" s="52"/>
      <c r="K157" s="52"/>
      <c r="L157" s="52"/>
    </row>
    <row r="158">
      <c r="A158" s="77"/>
      <c r="B158" s="77"/>
      <c r="C158" s="52"/>
      <c r="D158" s="52"/>
      <c r="E158" s="52"/>
      <c r="F158" s="52"/>
      <c r="G158" s="52"/>
      <c r="H158" s="52"/>
      <c r="I158" s="52"/>
      <c r="J158" s="52"/>
      <c r="K158" s="52"/>
      <c r="L158" s="52"/>
    </row>
    <row r="159">
      <c r="A159" s="77"/>
      <c r="B159" s="77"/>
      <c r="C159" s="52"/>
      <c r="D159" s="52"/>
      <c r="E159" s="52"/>
      <c r="F159" s="52"/>
      <c r="G159" s="52"/>
      <c r="H159" s="52"/>
      <c r="I159" s="52"/>
      <c r="J159" s="52"/>
      <c r="K159" s="52"/>
      <c r="L159" s="52"/>
    </row>
    <row r="160">
      <c r="A160" s="77"/>
      <c r="B160" s="77"/>
      <c r="C160" s="52"/>
      <c r="D160" s="52"/>
      <c r="E160" s="52"/>
      <c r="F160" s="52"/>
      <c r="G160" s="52"/>
      <c r="H160" s="52"/>
      <c r="I160" s="52"/>
      <c r="J160" s="52"/>
      <c r="K160" s="52"/>
      <c r="L160" s="52"/>
    </row>
    <row r="161">
      <c r="A161" s="77"/>
      <c r="B161" s="77"/>
      <c r="C161" s="52"/>
      <c r="D161" s="52"/>
      <c r="E161" s="52"/>
      <c r="F161" s="52"/>
      <c r="G161" s="52"/>
      <c r="H161" s="52"/>
      <c r="I161" s="52"/>
      <c r="J161" s="52"/>
      <c r="K161" s="52"/>
      <c r="L161" s="52"/>
    </row>
    <row r="162">
      <c r="A162" s="77"/>
      <c r="B162" s="77"/>
      <c r="C162" s="52"/>
      <c r="D162" s="52"/>
      <c r="E162" s="52"/>
      <c r="F162" s="52"/>
      <c r="G162" s="52"/>
      <c r="H162" s="52"/>
      <c r="I162" s="52"/>
      <c r="J162" s="52"/>
      <c r="K162" s="52"/>
      <c r="L162" s="52"/>
    </row>
    <row r="163">
      <c r="A163" s="77"/>
      <c r="B163" s="77"/>
      <c r="C163" s="52"/>
      <c r="D163" s="52"/>
      <c r="E163" s="52"/>
      <c r="F163" s="52"/>
      <c r="G163" s="52"/>
      <c r="H163" s="52"/>
      <c r="I163" s="52"/>
      <c r="J163" s="52"/>
      <c r="K163" s="52"/>
      <c r="L163" s="52"/>
    </row>
    <row r="164">
      <c r="A164" s="77"/>
      <c r="B164" s="77"/>
      <c r="C164" s="52"/>
      <c r="D164" s="52"/>
      <c r="E164" s="52"/>
      <c r="F164" s="52"/>
      <c r="G164" s="52"/>
      <c r="H164" s="52"/>
      <c r="I164" s="52"/>
      <c r="J164" s="52"/>
      <c r="K164" s="52"/>
      <c r="L164" s="52"/>
    </row>
    <row r="165">
      <c r="A165" s="77"/>
      <c r="B165" s="77"/>
      <c r="C165" s="52"/>
      <c r="D165" s="52"/>
      <c r="E165" s="52"/>
      <c r="F165" s="52"/>
      <c r="G165" s="52"/>
      <c r="H165" s="52"/>
      <c r="I165" s="52"/>
      <c r="J165" s="52"/>
      <c r="K165" s="52"/>
      <c r="L165" s="52"/>
    </row>
    <row r="166">
      <c r="A166" s="77"/>
      <c r="B166" s="77"/>
      <c r="C166" s="52"/>
      <c r="D166" s="52"/>
      <c r="E166" s="52"/>
      <c r="F166" s="52"/>
      <c r="G166" s="52"/>
      <c r="H166" s="52"/>
      <c r="I166" s="52"/>
      <c r="J166" s="52"/>
      <c r="K166" s="52"/>
      <c r="L166" s="52"/>
    </row>
    <row r="167">
      <c r="A167" s="77"/>
      <c r="B167" s="77"/>
      <c r="C167" s="52"/>
      <c r="D167" s="52"/>
      <c r="E167" s="52"/>
      <c r="F167" s="52"/>
      <c r="G167" s="52"/>
      <c r="H167" s="52"/>
      <c r="I167" s="52"/>
      <c r="J167" s="52"/>
      <c r="K167" s="52"/>
      <c r="L167" s="52"/>
    </row>
    <row r="168">
      <c r="A168" s="77"/>
      <c r="B168" s="77"/>
      <c r="C168" s="52"/>
      <c r="D168" s="52"/>
      <c r="E168" s="52"/>
      <c r="F168" s="52"/>
      <c r="G168" s="52"/>
      <c r="H168" s="52"/>
      <c r="I168" s="52"/>
      <c r="J168" s="52"/>
      <c r="K168" s="52"/>
      <c r="L168" s="52"/>
    </row>
    <row r="169">
      <c r="A169" s="77"/>
      <c r="B169" s="77"/>
      <c r="C169" s="52"/>
      <c r="D169" s="52"/>
      <c r="E169" s="52"/>
      <c r="F169" s="52"/>
      <c r="G169" s="52"/>
      <c r="H169" s="52"/>
      <c r="I169" s="52"/>
      <c r="J169" s="52"/>
      <c r="K169" s="52"/>
      <c r="L169" s="52"/>
    </row>
    <row r="170">
      <c r="A170" s="77"/>
      <c r="B170" s="77"/>
      <c r="C170" s="52"/>
      <c r="D170" s="52"/>
      <c r="E170" s="52"/>
      <c r="F170" s="52"/>
      <c r="G170" s="52"/>
      <c r="H170" s="52"/>
      <c r="I170" s="52"/>
      <c r="J170" s="52"/>
      <c r="K170" s="52"/>
      <c r="L170" s="52"/>
    </row>
    <row r="171">
      <c r="A171" s="77"/>
      <c r="B171" s="77"/>
      <c r="C171" s="52"/>
      <c r="D171" s="52"/>
      <c r="E171" s="52"/>
      <c r="F171" s="52"/>
      <c r="G171" s="52"/>
      <c r="H171" s="52"/>
      <c r="I171" s="52"/>
      <c r="J171" s="52"/>
      <c r="K171" s="52"/>
      <c r="L171" s="52"/>
    </row>
    <row r="172">
      <c r="A172" s="77"/>
      <c r="B172" s="77"/>
      <c r="C172" s="52"/>
      <c r="D172" s="52"/>
      <c r="E172" s="52"/>
      <c r="F172" s="52"/>
      <c r="G172" s="52"/>
      <c r="H172" s="52"/>
      <c r="I172" s="52"/>
      <c r="J172" s="52"/>
      <c r="K172" s="52"/>
      <c r="L172" s="52"/>
    </row>
    <row r="173">
      <c r="A173" s="77"/>
      <c r="B173" s="77"/>
      <c r="C173" s="52"/>
      <c r="D173" s="52"/>
      <c r="E173" s="52"/>
      <c r="F173" s="52"/>
      <c r="G173" s="52"/>
      <c r="H173" s="52"/>
      <c r="I173" s="52"/>
      <c r="J173" s="52"/>
      <c r="K173" s="52"/>
      <c r="L173" s="52"/>
    </row>
    <row r="174">
      <c r="A174" s="77"/>
      <c r="B174" s="77"/>
      <c r="C174" s="52"/>
      <c r="D174" s="52"/>
      <c r="E174" s="52"/>
      <c r="F174" s="52"/>
      <c r="G174" s="52"/>
      <c r="H174" s="52"/>
      <c r="I174" s="52"/>
      <c r="J174" s="52"/>
      <c r="K174" s="52"/>
      <c r="L174" s="52"/>
    </row>
    <row r="175">
      <c r="A175" s="77"/>
      <c r="B175" s="77"/>
      <c r="C175" s="52"/>
      <c r="D175" s="52"/>
      <c r="E175" s="52"/>
      <c r="F175" s="52"/>
      <c r="G175" s="52"/>
      <c r="H175" s="52"/>
      <c r="I175" s="52"/>
      <c r="J175" s="52"/>
      <c r="K175" s="52"/>
      <c r="L175" s="52"/>
    </row>
    <row r="176">
      <c r="A176" s="77"/>
      <c r="B176" s="77"/>
      <c r="C176" s="52"/>
      <c r="D176" s="52"/>
      <c r="E176" s="52"/>
      <c r="F176" s="52"/>
      <c r="G176" s="52"/>
      <c r="H176" s="52"/>
      <c r="I176" s="52"/>
      <c r="J176" s="52"/>
      <c r="K176" s="52"/>
      <c r="L176" s="52"/>
    </row>
    <row r="177">
      <c r="A177" s="77"/>
      <c r="B177" s="77"/>
      <c r="C177" s="52"/>
      <c r="D177" s="52"/>
      <c r="E177" s="52"/>
      <c r="F177" s="52"/>
      <c r="G177" s="52"/>
      <c r="H177" s="52"/>
      <c r="I177" s="52"/>
      <c r="J177" s="52"/>
      <c r="K177" s="52"/>
      <c r="L177" s="52"/>
    </row>
    <row r="178">
      <c r="A178" s="77"/>
      <c r="B178" s="77"/>
      <c r="C178" s="52"/>
      <c r="D178" s="52"/>
      <c r="E178" s="52"/>
      <c r="F178" s="52"/>
      <c r="G178" s="52"/>
      <c r="H178" s="52"/>
      <c r="I178" s="52"/>
      <c r="J178" s="52"/>
      <c r="K178" s="52"/>
      <c r="L178" s="52"/>
    </row>
    <row r="179">
      <c r="A179" s="77"/>
      <c r="B179" s="77"/>
      <c r="C179" s="52"/>
      <c r="D179" s="52"/>
      <c r="E179" s="52"/>
      <c r="F179" s="52"/>
      <c r="G179" s="52"/>
      <c r="H179" s="52"/>
      <c r="I179" s="52"/>
      <c r="J179" s="52"/>
      <c r="K179" s="52"/>
      <c r="L179" s="52"/>
    </row>
    <row r="180">
      <c r="A180" s="77"/>
      <c r="B180" s="77"/>
      <c r="C180" s="52"/>
      <c r="D180" s="52"/>
      <c r="E180" s="52"/>
      <c r="F180" s="52"/>
      <c r="G180" s="52"/>
      <c r="H180" s="52"/>
      <c r="I180" s="52"/>
      <c r="J180" s="52"/>
      <c r="K180" s="52"/>
      <c r="L180" s="52"/>
    </row>
    <row r="181">
      <c r="A181" s="77"/>
      <c r="B181" s="77"/>
      <c r="C181" s="52"/>
      <c r="D181" s="52"/>
      <c r="E181" s="52"/>
      <c r="F181" s="52"/>
      <c r="G181" s="52"/>
      <c r="H181" s="52"/>
      <c r="I181" s="52"/>
      <c r="J181" s="52"/>
      <c r="K181" s="52"/>
      <c r="L181" s="52"/>
    </row>
    <row r="182">
      <c r="A182" s="77"/>
      <c r="B182" s="77"/>
      <c r="C182" s="52"/>
      <c r="D182" s="52"/>
      <c r="E182" s="52"/>
      <c r="F182" s="52"/>
      <c r="G182" s="52"/>
      <c r="H182" s="52"/>
      <c r="I182" s="52"/>
      <c r="J182" s="52"/>
      <c r="K182" s="52"/>
      <c r="L182" s="52"/>
    </row>
    <row r="183">
      <c r="A183" s="77"/>
      <c r="B183" s="77"/>
      <c r="C183" s="52"/>
      <c r="D183" s="52"/>
      <c r="E183" s="52"/>
      <c r="F183" s="52"/>
      <c r="G183" s="52"/>
      <c r="H183" s="52"/>
      <c r="I183" s="52"/>
      <c r="J183" s="52"/>
      <c r="K183" s="52"/>
      <c r="L183" s="52"/>
    </row>
    <row r="184">
      <c r="A184" s="77"/>
      <c r="B184" s="77"/>
      <c r="C184" s="52"/>
      <c r="D184" s="52"/>
      <c r="E184" s="52"/>
      <c r="F184" s="52"/>
      <c r="G184" s="52"/>
      <c r="H184" s="52"/>
      <c r="I184" s="52"/>
      <c r="J184" s="52"/>
      <c r="K184" s="52"/>
      <c r="L184" s="52"/>
    </row>
    <row r="185">
      <c r="A185" s="77"/>
      <c r="B185" s="77"/>
      <c r="C185" s="52"/>
      <c r="D185" s="52"/>
      <c r="E185" s="52"/>
      <c r="F185" s="52"/>
      <c r="G185" s="52"/>
      <c r="H185" s="52"/>
      <c r="I185" s="52"/>
      <c r="J185" s="52"/>
      <c r="K185" s="52"/>
      <c r="L185" s="52"/>
    </row>
    <row r="186">
      <c r="A186" s="77"/>
      <c r="B186" s="77"/>
      <c r="C186" s="52"/>
      <c r="D186" s="52"/>
      <c r="E186" s="52"/>
      <c r="F186" s="52"/>
      <c r="G186" s="52"/>
      <c r="H186" s="52"/>
      <c r="I186" s="52"/>
      <c r="J186" s="52"/>
      <c r="K186" s="52"/>
      <c r="L186" s="52"/>
    </row>
    <row r="187">
      <c r="A187" s="77"/>
      <c r="B187" s="77"/>
      <c r="C187" s="52"/>
      <c r="D187" s="52"/>
      <c r="E187" s="52"/>
      <c r="F187" s="52"/>
      <c r="G187" s="52"/>
      <c r="H187" s="52"/>
      <c r="I187" s="52"/>
      <c r="J187" s="52"/>
      <c r="K187" s="52"/>
      <c r="L187" s="52"/>
    </row>
    <row r="188">
      <c r="A188" s="77"/>
      <c r="B188" s="77"/>
      <c r="C188" s="52"/>
      <c r="D188" s="52"/>
      <c r="E188" s="52"/>
      <c r="F188" s="52"/>
      <c r="G188" s="52"/>
      <c r="H188" s="52"/>
      <c r="I188" s="52"/>
      <c r="J188" s="52"/>
      <c r="K188" s="52"/>
      <c r="L188" s="52"/>
    </row>
    <row r="189">
      <c r="A189" s="77"/>
      <c r="B189" s="77"/>
      <c r="C189" s="52"/>
      <c r="D189" s="52"/>
      <c r="E189" s="52"/>
      <c r="F189" s="52"/>
      <c r="G189" s="52"/>
      <c r="H189" s="52"/>
      <c r="I189" s="52"/>
      <c r="J189" s="52"/>
      <c r="K189" s="52"/>
      <c r="L189" s="52"/>
    </row>
    <row r="190">
      <c r="A190" s="77"/>
      <c r="B190" s="77"/>
      <c r="C190" s="52"/>
      <c r="D190" s="52"/>
      <c r="E190" s="52"/>
      <c r="F190" s="52"/>
      <c r="G190" s="52"/>
      <c r="H190" s="52"/>
      <c r="I190" s="52"/>
      <c r="J190" s="52"/>
      <c r="K190" s="52"/>
      <c r="L190" s="52"/>
    </row>
    <row r="191">
      <c r="A191" s="77"/>
      <c r="B191" s="77"/>
      <c r="C191" s="52"/>
      <c r="D191" s="52"/>
      <c r="E191" s="52"/>
      <c r="F191" s="52"/>
      <c r="G191" s="52"/>
      <c r="H191" s="52"/>
      <c r="I191" s="52"/>
      <c r="J191" s="52"/>
      <c r="K191" s="52"/>
      <c r="L191" s="52"/>
    </row>
    <row r="192">
      <c r="A192" s="77"/>
      <c r="B192" s="77"/>
      <c r="C192" s="52"/>
      <c r="D192" s="52"/>
      <c r="E192" s="52"/>
      <c r="F192" s="52"/>
      <c r="G192" s="52"/>
      <c r="H192" s="52"/>
      <c r="I192" s="52"/>
      <c r="J192" s="52"/>
      <c r="K192" s="52"/>
      <c r="L192" s="52"/>
    </row>
    <row r="193">
      <c r="A193" s="77"/>
      <c r="B193" s="77"/>
      <c r="C193" s="52"/>
      <c r="D193" s="52"/>
      <c r="E193" s="52"/>
      <c r="F193" s="52"/>
      <c r="G193" s="52"/>
      <c r="H193" s="52"/>
      <c r="I193" s="52"/>
      <c r="J193" s="52"/>
      <c r="K193" s="52"/>
      <c r="L193" s="52"/>
    </row>
    <row r="194">
      <c r="A194" s="77"/>
      <c r="B194" s="77"/>
      <c r="C194" s="52"/>
      <c r="D194" s="52"/>
      <c r="E194" s="52"/>
      <c r="F194" s="52"/>
      <c r="G194" s="52"/>
      <c r="H194" s="52"/>
      <c r="I194" s="52"/>
      <c r="J194" s="52"/>
      <c r="K194" s="52"/>
      <c r="L194" s="52"/>
    </row>
    <row r="195">
      <c r="A195" s="77"/>
      <c r="B195" s="77"/>
      <c r="C195" s="52"/>
      <c r="D195" s="52"/>
      <c r="E195" s="52"/>
      <c r="F195" s="52"/>
      <c r="G195" s="52"/>
      <c r="H195" s="52"/>
      <c r="I195" s="52"/>
      <c r="J195" s="52"/>
      <c r="K195" s="52"/>
      <c r="L195" s="52"/>
    </row>
    <row r="196">
      <c r="A196" s="77"/>
      <c r="B196" s="77"/>
      <c r="C196" s="52"/>
      <c r="D196" s="52"/>
      <c r="E196" s="52"/>
      <c r="F196" s="52"/>
      <c r="G196" s="52"/>
      <c r="H196" s="52"/>
      <c r="I196" s="52"/>
      <c r="J196" s="52"/>
      <c r="K196" s="52"/>
      <c r="L196" s="52"/>
    </row>
    <row r="197">
      <c r="A197" s="77"/>
      <c r="B197" s="77"/>
      <c r="C197" s="52"/>
      <c r="D197" s="52"/>
      <c r="E197" s="52"/>
      <c r="F197" s="52"/>
      <c r="G197" s="52"/>
      <c r="H197" s="52"/>
      <c r="I197" s="52"/>
      <c r="J197" s="52"/>
      <c r="K197" s="52"/>
      <c r="L197" s="52"/>
    </row>
    <row r="198">
      <c r="A198" s="77"/>
      <c r="B198" s="77"/>
      <c r="C198" s="52"/>
      <c r="D198" s="52"/>
      <c r="E198" s="52"/>
      <c r="F198" s="52"/>
      <c r="G198" s="52"/>
      <c r="H198" s="52"/>
      <c r="I198" s="52"/>
      <c r="J198" s="52"/>
      <c r="K198" s="52"/>
      <c r="L198" s="52"/>
    </row>
    <row r="199">
      <c r="A199" s="77"/>
      <c r="B199" s="77"/>
      <c r="C199" s="52"/>
      <c r="D199" s="52"/>
      <c r="E199" s="52"/>
      <c r="F199" s="52"/>
      <c r="G199" s="52"/>
      <c r="H199" s="52"/>
      <c r="I199" s="52"/>
      <c r="J199" s="52"/>
      <c r="K199" s="52"/>
      <c r="L199" s="52"/>
    </row>
    <row r="200">
      <c r="A200" s="77"/>
      <c r="B200" s="77"/>
      <c r="C200" s="52"/>
      <c r="D200" s="52"/>
      <c r="E200" s="52"/>
      <c r="F200" s="52"/>
      <c r="G200" s="52"/>
      <c r="H200" s="52"/>
      <c r="I200" s="52"/>
      <c r="J200" s="52"/>
      <c r="K200" s="52"/>
      <c r="L200" s="52"/>
    </row>
    <row r="201">
      <c r="A201" s="77"/>
      <c r="B201" s="77"/>
      <c r="C201" s="52"/>
      <c r="D201" s="52"/>
      <c r="E201" s="52"/>
      <c r="F201" s="52"/>
      <c r="G201" s="52"/>
      <c r="H201" s="52"/>
      <c r="I201" s="52"/>
      <c r="J201" s="52"/>
      <c r="K201" s="52"/>
      <c r="L201" s="52"/>
    </row>
    <row r="202">
      <c r="A202" s="77"/>
      <c r="B202" s="77"/>
      <c r="C202" s="52"/>
      <c r="D202" s="52"/>
      <c r="E202" s="52"/>
      <c r="F202" s="52"/>
      <c r="G202" s="52"/>
      <c r="H202" s="52"/>
      <c r="I202" s="52"/>
      <c r="J202" s="52"/>
      <c r="K202" s="52"/>
      <c r="L202" s="52"/>
    </row>
    <row r="203">
      <c r="A203" s="77"/>
      <c r="B203" s="77"/>
      <c r="C203" s="52"/>
      <c r="D203" s="52"/>
      <c r="E203" s="52"/>
      <c r="F203" s="52"/>
      <c r="G203" s="52"/>
      <c r="H203" s="52"/>
      <c r="I203" s="52"/>
      <c r="J203" s="52"/>
      <c r="K203" s="52"/>
      <c r="L203" s="52"/>
    </row>
    <row r="204">
      <c r="A204" s="77"/>
      <c r="B204" s="77"/>
      <c r="C204" s="52"/>
      <c r="D204" s="52"/>
      <c r="E204" s="52"/>
      <c r="F204" s="52"/>
      <c r="G204" s="52"/>
      <c r="H204" s="52"/>
      <c r="I204" s="52"/>
      <c r="J204" s="52"/>
      <c r="K204" s="52"/>
      <c r="L204" s="52"/>
    </row>
    <row r="205">
      <c r="A205" s="77"/>
      <c r="B205" s="77"/>
      <c r="C205" s="52"/>
      <c r="D205" s="52"/>
      <c r="E205" s="52"/>
      <c r="F205" s="52"/>
      <c r="G205" s="52"/>
      <c r="H205" s="52"/>
      <c r="I205" s="52"/>
      <c r="J205" s="52"/>
      <c r="K205" s="52"/>
      <c r="L205" s="52"/>
    </row>
    <row r="206">
      <c r="A206" s="77"/>
      <c r="B206" s="77"/>
      <c r="C206" s="52"/>
      <c r="D206" s="52"/>
      <c r="E206" s="52"/>
      <c r="F206" s="52"/>
      <c r="G206" s="52"/>
      <c r="H206" s="52"/>
      <c r="I206" s="52"/>
      <c r="J206" s="52"/>
      <c r="K206" s="52"/>
      <c r="L206" s="52"/>
    </row>
    <row r="207">
      <c r="A207" s="77"/>
      <c r="B207" s="77"/>
      <c r="C207" s="52"/>
      <c r="D207" s="52"/>
      <c r="E207" s="52"/>
      <c r="F207" s="52"/>
      <c r="G207" s="52"/>
      <c r="H207" s="52"/>
      <c r="I207" s="52"/>
      <c r="J207" s="52"/>
      <c r="K207" s="52"/>
      <c r="L207" s="52"/>
    </row>
    <row r="208">
      <c r="A208" s="77"/>
      <c r="B208" s="77"/>
      <c r="C208" s="52"/>
      <c r="D208" s="52"/>
      <c r="E208" s="52"/>
      <c r="F208" s="52"/>
      <c r="G208" s="52"/>
      <c r="H208" s="52"/>
      <c r="I208" s="52"/>
      <c r="J208" s="52"/>
      <c r="K208" s="52"/>
      <c r="L208" s="52"/>
    </row>
    <row r="209">
      <c r="A209" s="77"/>
      <c r="B209" s="77"/>
      <c r="C209" s="52"/>
      <c r="D209" s="52"/>
      <c r="E209" s="52"/>
      <c r="F209" s="52"/>
      <c r="G209" s="52"/>
      <c r="H209" s="52"/>
      <c r="I209" s="52"/>
      <c r="J209" s="52"/>
      <c r="K209" s="52"/>
      <c r="L209" s="52"/>
    </row>
    <row r="210">
      <c r="A210" s="77"/>
      <c r="B210" s="77"/>
      <c r="C210" s="52"/>
      <c r="D210" s="52"/>
      <c r="E210" s="52"/>
      <c r="F210" s="52"/>
      <c r="G210" s="52"/>
      <c r="H210" s="52"/>
      <c r="I210" s="52"/>
      <c r="J210" s="52"/>
      <c r="K210" s="52"/>
      <c r="L210" s="52"/>
    </row>
    <row r="211">
      <c r="A211" s="77"/>
      <c r="B211" s="77"/>
      <c r="C211" s="52"/>
      <c r="D211" s="52"/>
      <c r="E211" s="52"/>
      <c r="F211" s="52"/>
      <c r="G211" s="52"/>
      <c r="H211" s="52"/>
      <c r="I211" s="52"/>
      <c r="J211" s="52"/>
      <c r="K211" s="52"/>
      <c r="L211" s="52"/>
    </row>
    <row r="212">
      <c r="A212" s="77"/>
      <c r="B212" s="77"/>
      <c r="C212" s="52"/>
      <c r="D212" s="52"/>
      <c r="E212" s="52"/>
      <c r="F212" s="52"/>
      <c r="G212" s="52"/>
      <c r="H212" s="52"/>
      <c r="I212" s="52"/>
      <c r="J212" s="52"/>
      <c r="K212" s="52"/>
      <c r="L212" s="52"/>
    </row>
    <row r="213">
      <c r="A213" s="77"/>
      <c r="B213" s="77"/>
      <c r="C213" s="52"/>
      <c r="D213" s="52"/>
      <c r="E213" s="52"/>
      <c r="F213" s="52"/>
      <c r="G213" s="52"/>
      <c r="H213" s="52"/>
      <c r="I213" s="52"/>
      <c r="J213" s="52"/>
      <c r="K213" s="52"/>
      <c r="L213" s="52"/>
    </row>
    <row r="214">
      <c r="A214" s="77"/>
      <c r="B214" s="77"/>
      <c r="C214" s="52"/>
      <c r="D214" s="52"/>
      <c r="E214" s="52"/>
      <c r="F214" s="52"/>
      <c r="G214" s="52"/>
      <c r="H214" s="52"/>
      <c r="I214" s="52"/>
      <c r="J214" s="52"/>
      <c r="K214" s="52"/>
      <c r="L214" s="52"/>
    </row>
    <row r="215">
      <c r="A215" s="77"/>
      <c r="B215" s="77"/>
      <c r="C215" s="52"/>
      <c r="D215" s="52"/>
      <c r="E215" s="52"/>
      <c r="F215" s="52"/>
      <c r="G215" s="52"/>
      <c r="H215" s="52"/>
      <c r="I215" s="52"/>
      <c r="J215" s="52"/>
      <c r="K215" s="52"/>
      <c r="L215" s="52"/>
    </row>
    <row r="216">
      <c r="A216" s="77"/>
      <c r="B216" s="77"/>
      <c r="C216" s="52"/>
      <c r="D216" s="52"/>
      <c r="E216" s="52"/>
      <c r="F216" s="52"/>
      <c r="G216" s="52"/>
      <c r="H216" s="52"/>
      <c r="I216" s="52"/>
      <c r="J216" s="52"/>
      <c r="K216" s="52"/>
      <c r="L216" s="52"/>
    </row>
    <row r="217">
      <c r="A217" s="77"/>
      <c r="B217" s="77"/>
      <c r="C217" s="52"/>
      <c r="D217" s="52"/>
      <c r="E217" s="52"/>
      <c r="F217" s="52"/>
      <c r="G217" s="52"/>
      <c r="H217" s="52"/>
      <c r="I217" s="52"/>
      <c r="J217" s="52"/>
      <c r="K217" s="52"/>
      <c r="L217" s="52"/>
    </row>
    <row r="218">
      <c r="A218" s="77"/>
      <c r="B218" s="77"/>
      <c r="C218" s="52"/>
      <c r="D218" s="52"/>
      <c r="E218" s="52"/>
      <c r="F218" s="52"/>
      <c r="G218" s="52"/>
      <c r="H218" s="52"/>
      <c r="I218" s="52"/>
      <c r="J218" s="52"/>
      <c r="K218" s="52"/>
      <c r="L218" s="52"/>
    </row>
    <row r="219">
      <c r="A219" s="77"/>
      <c r="B219" s="77"/>
      <c r="C219" s="52"/>
      <c r="D219" s="52"/>
      <c r="E219" s="52"/>
      <c r="F219" s="52"/>
      <c r="G219" s="52"/>
      <c r="H219" s="52"/>
      <c r="I219" s="52"/>
      <c r="J219" s="52"/>
      <c r="K219" s="52"/>
      <c r="L219" s="52"/>
    </row>
    <row r="220">
      <c r="A220" s="77"/>
      <c r="B220" s="77"/>
      <c r="C220" s="52"/>
      <c r="D220" s="52"/>
      <c r="E220" s="52"/>
      <c r="F220" s="52"/>
      <c r="G220" s="52"/>
      <c r="H220" s="52"/>
      <c r="I220" s="52"/>
      <c r="J220" s="52"/>
      <c r="K220" s="52"/>
      <c r="L220" s="52"/>
    </row>
    <row r="221">
      <c r="A221" s="77"/>
      <c r="B221" s="77"/>
      <c r="C221" s="52"/>
      <c r="D221" s="52"/>
      <c r="E221" s="52"/>
      <c r="F221" s="52"/>
      <c r="G221" s="52"/>
      <c r="H221" s="52"/>
      <c r="I221" s="52"/>
      <c r="J221" s="52"/>
      <c r="K221" s="52"/>
      <c r="L221" s="52"/>
    </row>
    <row r="222">
      <c r="A222" s="77"/>
      <c r="B222" s="77"/>
      <c r="C222" s="52"/>
      <c r="D222" s="52"/>
      <c r="E222" s="52"/>
      <c r="F222" s="52"/>
      <c r="G222" s="52"/>
      <c r="H222" s="52"/>
      <c r="I222" s="52"/>
      <c r="J222" s="52"/>
      <c r="K222" s="52"/>
      <c r="L222" s="52"/>
    </row>
    <row r="223">
      <c r="A223" s="77"/>
      <c r="B223" s="77"/>
      <c r="C223" s="52"/>
      <c r="D223" s="52"/>
      <c r="E223" s="52"/>
      <c r="F223" s="52"/>
      <c r="G223" s="52"/>
      <c r="H223" s="52"/>
      <c r="I223" s="52"/>
      <c r="J223" s="52"/>
      <c r="K223" s="52"/>
      <c r="L223" s="52"/>
    </row>
    <row r="224">
      <c r="A224" s="77"/>
      <c r="B224" s="77"/>
      <c r="C224" s="52"/>
      <c r="D224" s="52"/>
      <c r="E224" s="52"/>
      <c r="F224" s="52"/>
      <c r="G224" s="52"/>
      <c r="H224" s="52"/>
      <c r="I224" s="52"/>
      <c r="J224" s="52"/>
      <c r="K224" s="52"/>
      <c r="L224" s="52"/>
    </row>
    <row r="225">
      <c r="A225" s="77"/>
      <c r="B225" s="77"/>
      <c r="C225" s="52"/>
      <c r="D225" s="52"/>
      <c r="E225" s="52"/>
      <c r="F225" s="52"/>
      <c r="G225" s="52"/>
      <c r="H225" s="52"/>
      <c r="I225" s="52"/>
      <c r="J225" s="52"/>
      <c r="K225" s="52"/>
      <c r="L225" s="52"/>
    </row>
    <row r="226">
      <c r="A226" s="77"/>
      <c r="B226" s="77"/>
      <c r="C226" s="52"/>
      <c r="D226" s="52"/>
      <c r="E226" s="52"/>
      <c r="F226" s="52"/>
      <c r="G226" s="52"/>
      <c r="H226" s="52"/>
      <c r="I226" s="52"/>
      <c r="J226" s="52"/>
      <c r="K226" s="52"/>
      <c r="L226" s="52"/>
    </row>
    <row r="227">
      <c r="A227" s="77"/>
      <c r="B227" s="77"/>
      <c r="C227" s="52"/>
      <c r="D227" s="52"/>
      <c r="E227" s="52"/>
      <c r="F227" s="52"/>
      <c r="G227" s="52"/>
      <c r="H227" s="52"/>
      <c r="I227" s="52"/>
      <c r="J227" s="52"/>
      <c r="K227" s="52"/>
      <c r="L227" s="52"/>
    </row>
    <row r="228">
      <c r="A228" s="77"/>
      <c r="B228" s="77"/>
      <c r="C228" s="52"/>
      <c r="D228" s="52"/>
      <c r="E228" s="52"/>
      <c r="F228" s="52"/>
      <c r="G228" s="52"/>
      <c r="H228" s="52"/>
      <c r="I228" s="52"/>
      <c r="J228" s="52"/>
      <c r="K228" s="52"/>
      <c r="L228" s="52"/>
    </row>
    <row r="229">
      <c r="A229" s="77"/>
      <c r="B229" s="77"/>
      <c r="C229" s="52"/>
      <c r="D229" s="52"/>
      <c r="E229" s="52"/>
      <c r="F229" s="52"/>
      <c r="G229" s="52"/>
      <c r="H229" s="52"/>
      <c r="I229" s="52"/>
      <c r="J229" s="52"/>
      <c r="K229" s="52"/>
      <c r="L229" s="52"/>
    </row>
    <row r="230">
      <c r="A230" s="77"/>
      <c r="B230" s="77"/>
      <c r="C230" s="52"/>
      <c r="D230" s="52"/>
      <c r="E230" s="52"/>
      <c r="F230" s="52"/>
      <c r="G230" s="52"/>
      <c r="H230" s="52"/>
      <c r="I230" s="52"/>
      <c r="J230" s="52"/>
      <c r="K230" s="52"/>
      <c r="L230" s="52"/>
    </row>
    <row r="231">
      <c r="A231" s="77"/>
      <c r="B231" s="77"/>
      <c r="C231" s="52"/>
      <c r="D231" s="52"/>
      <c r="E231" s="52"/>
      <c r="F231" s="52"/>
      <c r="G231" s="52"/>
      <c r="H231" s="52"/>
      <c r="I231" s="52"/>
      <c r="J231" s="52"/>
      <c r="K231" s="52"/>
      <c r="L231" s="52"/>
    </row>
    <row r="232">
      <c r="A232" s="77"/>
      <c r="B232" s="77"/>
      <c r="C232" s="52"/>
      <c r="D232" s="52"/>
      <c r="E232" s="52"/>
      <c r="F232" s="52"/>
      <c r="G232" s="52"/>
      <c r="H232" s="52"/>
      <c r="I232" s="52"/>
      <c r="J232" s="52"/>
      <c r="K232" s="52"/>
      <c r="L232" s="52"/>
    </row>
    <row r="233">
      <c r="A233" s="77"/>
      <c r="B233" s="77"/>
      <c r="C233" s="52"/>
      <c r="D233" s="52"/>
      <c r="E233" s="52"/>
      <c r="F233" s="52"/>
      <c r="G233" s="52"/>
      <c r="H233" s="52"/>
      <c r="I233" s="52"/>
      <c r="J233" s="52"/>
      <c r="K233" s="52"/>
      <c r="L233" s="52"/>
    </row>
    <row r="234">
      <c r="A234" s="77"/>
      <c r="B234" s="77"/>
      <c r="C234" s="52"/>
      <c r="D234" s="52"/>
      <c r="E234" s="52"/>
      <c r="F234" s="52"/>
      <c r="G234" s="52"/>
      <c r="H234" s="52"/>
      <c r="I234" s="52"/>
      <c r="J234" s="52"/>
      <c r="K234" s="52"/>
      <c r="L234" s="52"/>
    </row>
    <row r="235">
      <c r="A235" s="77"/>
      <c r="B235" s="77"/>
      <c r="C235" s="52"/>
      <c r="D235" s="52"/>
      <c r="E235" s="52"/>
      <c r="F235" s="52"/>
      <c r="G235" s="52"/>
      <c r="H235" s="52"/>
      <c r="I235" s="52"/>
      <c r="J235" s="52"/>
      <c r="K235" s="52"/>
      <c r="L235" s="52"/>
    </row>
    <row r="236">
      <c r="A236" s="77"/>
      <c r="B236" s="77"/>
      <c r="C236" s="52"/>
      <c r="D236" s="52"/>
      <c r="E236" s="52"/>
      <c r="F236" s="52"/>
      <c r="G236" s="52"/>
      <c r="H236" s="52"/>
      <c r="I236" s="52"/>
      <c r="J236" s="52"/>
      <c r="K236" s="52"/>
      <c r="L236" s="52"/>
    </row>
    <row r="237">
      <c r="A237" s="77"/>
      <c r="B237" s="77"/>
      <c r="C237" s="52"/>
      <c r="D237" s="52"/>
      <c r="E237" s="52"/>
      <c r="F237" s="52"/>
      <c r="G237" s="52"/>
      <c r="H237" s="52"/>
      <c r="I237" s="52"/>
      <c r="J237" s="52"/>
      <c r="K237" s="52"/>
      <c r="L237" s="52"/>
    </row>
    <row r="238">
      <c r="A238" s="77"/>
      <c r="B238" s="77"/>
      <c r="C238" s="52"/>
      <c r="D238" s="52"/>
      <c r="E238" s="52"/>
      <c r="F238" s="52"/>
      <c r="G238" s="52"/>
      <c r="H238" s="52"/>
      <c r="I238" s="52"/>
      <c r="J238" s="52"/>
      <c r="K238" s="52"/>
      <c r="L238" s="52"/>
    </row>
    <row r="239">
      <c r="A239" s="77"/>
      <c r="B239" s="77"/>
      <c r="C239" s="52"/>
      <c r="D239" s="52"/>
      <c r="E239" s="52"/>
      <c r="F239" s="52"/>
      <c r="G239" s="52"/>
      <c r="H239" s="52"/>
      <c r="I239" s="52"/>
      <c r="J239" s="52"/>
      <c r="K239" s="52"/>
      <c r="L239" s="52"/>
    </row>
    <row r="240">
      <c r="A240" s="77"/>
      <c r="B240" s="77"/>
      <c r="C240" s="52"/>
      <c r="D240" s="52"/>
      <c r="E240" s="52"/>
      <c r="F240" s="52"/>
      <c r="G240" s="52"/>
      <c r="H240" s="52"/>
      <c r="I240" s="52"/>
      <c r="J240" s="52"/>
      <c r="K240" s="52"/>
      <c r="L240" s="52"/>
    </row>
    <row r="241">
      <c r="A241" s="77"/>
      <c r="B241" s="77"/>
      <c r="C241" s="52"/>
      <c r="D241" s="52"/>
      <c r="E241" s="52"/>
      <c r="F241" s="52"/>
      <c r="G241" s="52"/>
      <c r="H241" s="52"/>
      <c r="I241" s="52"/>
      <c r="J241" s="52"/>
      <c r="K241" s="52"/>
      <c r="L241" s="52"/>
    </row>
    <row r="242">
      <c r="A242" s="77"/>
      <c r="B242" s="77"/>
      <c r="C242" s="52"/>
      <c r="D242" s="52"/>
      <c r="E242" s="52"/>
      <c r="F242" s="52"/>
      <c r="G242" s="52"/>
      <c r="H242" s="52"/>
      <c r="I242" s="52"/>
      <c r="J242" s="52"/>
      <c r="K242" s="52"/>
      <c r="L242" s="52"/>
    </row>
    <row r="243">
      <c r="A243" s="77"/>
      <c r="B243" s="77"/>
      <c r="C243" s="52"/>
      <c r="D243" s="52"/>
      <c r="E243" s="52"/>
      <c r="F243" s="52"/>
      <c r="G243" s="52"/>
      <c r="H243" s="52"/>
      <c r="I243" s="52"/>
      <c r="J243" s="52"/>
      <c r="K243" s="52"/>
      <c r="L243" s="52"/>
    </row>
    <row r="244">
      <c r="A244" s="77"/>
      <c r="B244" s="77"/>
      <c r="C244" s="52"/>
      <c r="D244" s="52"/>
      <c r="E244" s="52"/>
      <c r="F244" s="52"/>
      <c r="G244" s="52"/>
      <c r="H244" s="52"/>
      <c r="I244" s="52"/>
      <c r="J244" s="52"/>
      <c r="K244" s="52"/>
      <c r="L244" s="52"/>
    </row>
    <row r="245">
      <c r="A245" s="77"/>
      <c r="B245" s="77"/>
      <c r="C245" s="52"/>
      <c r="D245" s="52"/>
      <c r="E245" s="52"/>
      <c r="F245" s="52"/>
      <c r="G245" s="52"/>
      <c r="H245" s="52"/>
      <c r="I245" s="52"/>
      <c r="J245" s="52"/>
      <c r="K245" s="52"/>
      <c r="L245" s="52"/>
    </row>
    <row r="246">
      <c r="A246" s="77"/>
      <c r="B246" s="77"/>
      <c r="C246" s="52"/>
      <c r="D246" s="52"/>
      <c r="E246" s="52"/>
      <c r="F246" s="52"/>
      <c r="G246" s="52"/>
      <c r="H246" s="52"/>
      <c r="I246" s="52"/>
      <c r="J246" s="52"/>
      <c r="K246" s="52"/>
      <c r="L246" s="52"/>
    </row>
    <row r="247">
      <c r="A247" s="77"/>
      <c r="B247" s="77"/>
      <c r="C247" s="52"/>
      <c r="D247" s="52"/>
      <c r="E247" s="52"/>
      <c r="F247" s="52"/>
      <c r="G247" s="52"/>
      <c r="H247" s="52"/>
      <c r="I247" s="52"/>
      <c r="J247" s="52"/>
      <c r="K247" s="52"/>
      <c r="L247" s="52"/>
    </row>
    <row r="248">
      <c r="A248" s="77"/>
      <c r="B248" s="77"/>
      <c r="C248" s="52"/>
      <c r="D248" s="52"/>
      <c r="E248" s="52"/>
      <c r="F248" s="52"/>
      <c r="G248" s="52"/>
      <c r="H248" s="52"/>
      <c r="I248" s="52"/>
      <c r="J248" s="52"/>
      <c r="K248" s="52"/>
      <c r="L248" s="52"/>
    </row>
    <row r="249">
      <c r="A249" s="77"/>
      <c r="B249" s="77"/>
      <c r="C249" s="52"/>
      <c r="D249" s="52"/>
      <c r="E249" s="52"/>
      <c r="F249" s="52"/>
      <c r="G249" s="52"/>
      <c r="H249" s="52"/>
      <c r="I249" s="52"/>
      <c r="J249" s="52"/>
      <c r="K249" s="52"/>
      <c r="L249" s="52"/>
    </row>
    <row r="250">
      <c r="A250" s="77"/>
      <c r="B250" s="77"/>
      <c r="C250" s="52"/>
      <c r="D250" s="52"/>
      <c r="E250" s="52"/>
      <c r="F250" s="52"/>
      <c r="G250" s="52"/>
      <c r="H250" s="52"/>
      <c r="I250" s="52"/>
      <c r="J250" s="52"/>
      <c r="K250" s="52"/>
      <c r="L250" s="52"/>
    </row>
    <row r="251">
      <c r="A251" s="77"/>
      <c r="B251" s="77"/>
      <c r="C251" s="52"/>
      <c r="D251" s="52"/>
      <c r="E251" s="52"/>
      <c r="F251" s="52"/>
      <c r="G251" s="52"/>
      <c r="H251" s="52"/>
      <c r="I251" s="52"/>
      <c r="J251" s="52"/>
      <c r="K251" s="52"/>
      <c r="L251" s="52"/>
    </row>
    <row r="252">
      <c r="A252" s="77"/>
      <c r="B252" s="77"/>
      <c r="C252" s="52"/>
      <c r="D252" s="52"/>
      <c r="E252" s="52"/>
      <c r="F252" s="52"/>
      <c r="G252" s="52"/>
      <c r="H252" s="52"/>
      <c r="I252" s="52"/>
      <c r="J252" s="52"/>
      <c r="K252" s="52"/>
      <c r="L252" s="52"/>
    </row>
    <row r="253">
      <c r="A253" s="77"/>
      <c r="B253" s="77"/>
      <c r="C253" s="52"/>
      <c r="D253" s="52"/>
      <c r="E253" s="52"/>
      <c r="F253" s="52"/>
      <c r="G253" s="52"/>
      <c r="H253" s="52"/>
      <c r="I253" s="52"/>
      <c r="J253" s="52"/>
      <c r="K253" s="52"/>
      <c r="L253" s="52"/>
    </row>
    <row r="254">
      <c r="A254" s="77"/>
      <c r="B254" s="77"/>
      <c r="C254" s="52"/>
      <c r="D254" s="52"/>
      <c r="E254" s="52"/>
      <c r="F254" s="52"/>
      <c r="G254" s="52"/>
      <c r="H254" s="52"/>
      <c r="I254" s="52"/>
      <c r="J254" s="52"/>
      <c r="K254" s="52"/>
      <c r="L254" s="52"/>
    </row>
    <row r="255">
      <c r="A255" s="77"/>
      <c r="B255" s="77"/>
      <c r="C255" s="52"/>
      <c r="D255" s="52"/>
      <c r="E255" s="52"/>
      <c r="F255" s="52"/>
      <c r="G255" s="52"/>
      <c r="H255" s="52"/>
      <c r="I255" s="52"/>
      <c r="J255" s="52"/>
      <c r="K255" s="52"/>
      <c r="L255" s="52"/>
    </row>
    <row r="256">
      <c r="A256" s="77"/>
      <c r="B256" s="77"/>
      <c r="C256" s="52"/>
      <c r="D256" s="52"/>
      <c r="E256" s="52"/>
      <c r="F256" s="52"/>
      <c r="G256" s="52"/>
      <c r="H256" s="52"/>
      <c r="I256" s="52"/>
      <c r="J256" s="52"/>
      <c r="K256" s="52"/>
      <c r="L256" s="52"/>
    </row>
    <row r="257">
      <c r="A257" s="77"/>
      <c r="B257" s="77"/>
      <c r="C257" s="52"/>
      <c r="D257" s="52"/>
      <c r="E257" s="52"/>
      <c r="F257" s="52"/>
      <c r="G257" s="52"/>
      <c r="H257" s="52"/>
      <c r="I257" s="52"/>
      <c r="J257" s="52"/>
      <c r="K257" s="52"/>
      <c r="L257" s="52"/>
    </row>
    <row r="258">
      <c r="A258" s="77"/>
      <c r="B258" s="77"/>
      <c r="C258" s="52"/>
      <c r="D258" s="52"/>
      <c r="E258" s="52"/>
      <c r="F258" s="52"/>
      <c r="G258" s="52"/>
      <c r="H258" s="52"/>
      <c r="I258" s="52"/>
      <c r="J258" s="52"/>
      <c r="K258" s="52"/>
      <c r="L258" s="52"/>
    </row>
    <row r="259">
      <c r="A259" s="77"/>
      <c r="B259" s="77"/>
      <c r="C259" s="52"/>
      <c r="D259" s="52"/>
      <c r="E259" s="52"/>
      <c r="F259" s="52"/>
      <c r="G259" s="52"/>
      <c r="H259" s="52"/>
      <c r="I259" s="52"/>
      <c r="J259" s="52"/>
      <c r="K259" s="52"/>
      <c r="L259" s="52"/>
    </row>
    <row r="260">
      <c r="A260" s="77"/>
      <c r="B260" s="77"/>
      <c r="C260" s="52"/>
      <c r="D260" s="52"/>
      <c r="E260" s="52"/>
      <c r="F260" s="52"/>
      <c r="G260" s="52"/>
      <c r="H260" s="52"/>
      <c r="I260" s="52"/>
      <c r="J260" s="52"/>
      <c r="K260" s="52"/>
      <c r="L260" s="52"/>
    </row>
    <row r="261">
      <c r="A261" s="77"/>
      <c r="B261" s="77"/>
      <c r="C261" s="52"/>
      <c r="D261" s="52"/>
      <c r="E261" s="52"/>
      <c r="F261" s="52"/>
      <c r="G261" s="52"/>
      <c r="H261" s="52"/>
      <c r="I261" s="52"/>
      <c r="J261" s="52"/>
      <c r="K261" s="52"/>
      <c r="L261" s="52"/>
    </row>
    <row r="262">
      <c r="A262" s="77"/>
      <c r="B262" s="77"/>
      <c r="C262" s="52"/>
      <c r="D262" s="52"/>
      <c r="E262" s="52"/>
      <c r="F262" s="52"/>
      <c r="G262" s="52"/>
      <c r="H262" s="52"/>
      <c r="I262" s="52"/>
      <c r="J262" s="52"/>
      <c r="K262" s="52"/>
      <c r="L262" s="52"/>
    </row>
    <row r="263">
      <c r="A263" s="77"/>
      <c r="B263" s="77"/>
      <c r="C263" s="52"/>
      <c r="D263" s="52"/>
      <c r="E263" s="52"/>
      <c r="F263" s="52"/>
      <c r="G263" s="52"/>
      <c r="H263" s="52"/>
      <c r="I263" s="52"/>
      <c r="J263" s="52"/>
      <c r="K263" s="52"/>
      <c r="L263" s="52"/>
    </row>
    <row r="264">
      <c r="A264" s="77"/>
      <c r="B264" s="77"/>
      <c r="C264" s="52"/>
      <c r="D264" s="52"/>
      <c r="E264" s="52"/>
      <c r="F264" s="52"/>
      <c r="G264" s="52"/>
      <c r="H264" s="52"/>
      <c r="I264" s="52"/>
      <c r="J264" s="52"/>
      <c r="K264" s="52"/>
      <c r="L264" s="52"/>
    </row>
    <row r="265">
      <c r="A265" s="77"/>
      <c r="B265" s="77"/>
      <c r="C265" s="52"/>
      <c r="D265" s="52"/>
      <c r="E265" s="52"/>
      <c r="F265" s="52"/>
      <c r="G265" s="52"/>
      <c r="H265" s="52"/>
      <c r="I265" s="52"/>
      <c r="J265" s="52"/>
      <c r="K265" s="52"/>
      <c r="L265" s="52"/>
    </row>
    <row r="266">
      <c r="A266" s="77"/>
      <c r="B266" s="77"/>
      <c r="C266" s="52"/>
      <c r="D266" s="52"/>
      <c r="E266" s="52"/>
      <c r="F266" s="52"/>
      <c r="G266" s="52"/>
      <c r="H266" s="52"/>
      <c r="I266" s="52"/>
      <c r="J266" s="52"/>
      <c r="K266" s="52"/>
      <c r="L266" s="52"/>
    </row>
    <row r="267">
      <c r="A267" s="77"/>
      <c r="B267" s="77"/>
      <c r="C267" s="52"/>
      <c r="D267" s="52"/>
      <c r="E267" s="52"/>
      <c r="F267" s="52"/>
      <c r="G267" s="52"/>
      <c r="H267" s="52"/>
      <c r="I267" s="52"/>
      <c r="J267" s="52"/>
      <c r="K267" s="52"/>
      <c r="L267" s="52"/>
    </row>
    <row r="268">
      <c r="A268" s="77"/>
      <c r="B268" s="77"/>
      <c r="C268" s="52"/>
      <c r="D268" s="52"/>
      <c r="E268" s="52"/>
      <c r="F268" s="52"/>
      <c r="G268" s="52"/>
      <c r="H268" s="52"/>
      <c r="I268" s="52"/>
      <c r="J268" s="52"/>
      <c r="K268" s="52"/>
      <c r="L268" s="52"/>
    </row>
    <row r="269">
      <c r="A269" s="77"/>
      <c r="B269" s="77"/>
      <c r="C269" s="52"/>
      <c r="D269" s="52"/>
      <c r="E269" s="52"/>
      <c r="F269" s="52"/>
      <c r="G269" s="52"/>
      <c r="H269" s="52"/>
      <c r="I269" s="52"/>
      <c r="J269" s="52"/>
      <c r="K269" s="52"/>
      <c r="L269" s="52"/>
    </row>
    <row r="270">
      <c r="A270" s="77"/>
      <c r="B270" s="77"/>
      <c r="C270" s="52"/>
      <c r="D270" s="52"/>
      <c r="E270" s="52"/>
      <c r="F270" s="52"/>
      <c r="G270" s="52"/>
      <c r="H270" s="52"/>
      <c r="I270" s="52"/>
      <c r="J270" s="52"/>
      <c r="K270" s="52"/>
      <c r="L270" s="52"/>
    </row>
    <row r="271">
      <c r="A271" s="77"/>
      <c r="B271" s="77"/>
      <c r="C271" s="52"/>
      <c r="D271" s="52"/>
      <c r="E271" s="52"/>
      <c r="F271" s="52"/>
      <c r="G271" s="52"/>
      <c r="H271" s="52"/>
      <c r="I271" s="52"/>
      <c r="J271" s="52"/>
      <c r="K271" s="52"/>
      <c r="L271" s="52"/>
    </row>
    <row r="272">
      <c r="A272" s="77"/>
      <c r="B272" s="77"/>
      <c r="C272" s="52"/>
      <c r="D272" s="52"/>
      <c r="E272" s="52"/>
      <c r="F272" s="52"/>
      <c r="G272" s="52"/>
      <c r="H272" s="52"/>
      <c r="I272" s="52"/>
      <c r="J272" s="52"/>
      <c r="K272" s="52"/>
      <c r="L272" s="52"/>
    </row>
    <row r="273">
      <c r="A273" s="77"/>
      <c r="B273" s="77"/>
      <c r="C273" s="52"/>
      <c r="D273" s="52"/>
      <c r="E273" s="52"/>
      <c r="F273" s="52"/>
      <c r="G273" s="52"/>
      <c r="H273" s="52"/>
      <c r="I273" s="52"/>
      <c r="J273" s="52"/>
      <c r="K273" s="52"/>
      <c r="L273" s="52"/>
    </row>
    <row r="274">
      <c r="A274" s="77"/>
      <c r="B274" s="77"/>
      <c r="C274" s="52"/>
      <c r="D274" s="52"/>
      <c r="E274" s="52"/>
      <c r="F274" s="52"/>
      <c r="G274" s="52"/>
      <c r="H274" s="52"/>
      <c r="I274" s="52"/>
      <c r="J274" s="52"/>
      <c r="K274" s="52"/>
      <c r="L274" s="52"/>
    </row>
    <row r="275">
      <c r="A275" s="77"/>
      <c r="B275" s="77"/>
      <c r="C275" s="52"/>
      <c r="D275" s="52"/>
      <c r="E275" s="52"/>
      <c r="F275" s="52"/>
      <c r="G275" s="52"/>
      <c r="H275" s="52"/>
      <c r="I275" s="52"/>
      <c r="J275" s="52"/>
      <c r="K275" s="52"/>
      <c r="L275" s="52"/>
    </row>
    <row r="276">
      <c r="A276" s="77"/>
      <c r="B276" s="77"/>
      <c r="C276" s="52"/>
      <c r="D276" s="52"/>
      <c r="E276" s="52"/>
      <c r="F276" s="52"/>
      <c r="G276" s="52"/>
      <c r="H276" s="52"/>
      <c r="I276" s="52"/>
      <c r="J276" s="52"/>
      <c r="K276" s="52"/>
      <c r="L276" s="52"/>
    </row>
    <row r="277">
      <c r="A277" s="77"/>
      <c r="B277" s="77"/>
      <c r="C277" s="52"/>
      <c r="D277" s="52"/>
      <c r="E277" s="52"/>
      <c r="F277" s="52"/>
      <c r="G277" s="52"/>
      <c r="H277" s="52"/>
      <c r="I277" s="52"/>
      <c r="J277" s="52"/>
      <c r="K277" s="52"/>
      <c r="L277" s="52"/>
    </row>
    <row r="278">
      <c r="A278" s="77"/>
      <c r="B278" s="77"/>
      <c r="C278" s="52"/>
      <c r="D278" s="52"/>
      <c r="E278" s="52"/>
      <c r="F278" s="52"/>
      <c r="G278" s="52"/>
      <c r="H278" s="52"/>
      <c r="I278" s="52"/>
      <c r="J278" s="52"/>
      <c r="K278" s="52"/>
      <c r="L278" s="52"/>
    </row>
    <row r="279">
      <c r="A279" s="77"/>
      <c r="B279" s="77"/>
      <c r="C279" s="52"/>
      <c r="D279" s="52"/>
      <c r="E279" s="52"/>
      <c r="F279" s="52"/>
      <c r="G279" s="52"/>
      <c r="H279" s="52"/>
      <c r="I279" s="52"/>
      <c r="J279" s="52"/>
      <c r="K279" s="52"/>
      <c r="L279" s="52"/>
    </row>
    <row r="280">
      <c r="A280" s="77"/>
      <c r="B280" s="77"/>
      <c r="C280" s="52"/>
      <c r="D280" s="52"/>
      <c r="E280" s="52"/>
      <c r="F280" s="52"/>
      <c r="G280" s="52"/>
      <c r="H280" s="52"/>
      <c r="I280" s="52"/>
      <c r="J280" s="52"/>
      <c r="K280" s="52"/>
      <c r="L280" s="52"/>
    </row>
    <row r="281">
      <c r="A281" s="77"/>
      <c r="B281" s="77"/>
      <c r="C281" s="52"/>
      <c r="D281" s="52"/>
      <c r="E281" s="52"/>
      <c r="F281" s="52"/>
      <c r="G281" s="52"/>
      <c r="H281" s="52"/>
      <c r="I281" s="52"/>
      <c r="J281" s="52"/>
      <c r="K281" s="52"/>
      <c r="L281" s="52"/>
    </row>
    <row r="282">
      <c r="A282" s="77"/>
      <c r="B282" s="77"/>
      <c r="C282" s="52"/>
      <c r="D282" s="52"/>
      <c r="E282" s="52"/>
      <c r="F282" s="52"/>
      <c r="G282" s="52"/>
      <c r="H282" s="52"/>
      <c r="I282" s="52"/>
      <c r="J282" s="52"/>
      <c r="K282" s="52"/>
      <c r="L282" s="52"/>
    </row>
    <row r="283">
      <c r="A283" s="77"/>
      <c r="B283" s="77"/>
      <c r="C283" s="52"/>
      <c r="D283" s="52"/>
      <c r="E283" s="52"/>
      <c r="F283" s="52"/>
      <c r="G283" s="52"/>
      <c r="H283" s="52"/>
      <c r="I283" s="52"/>
      <c r="J283" s="52"/>
      <c r="K283" s="52"/>
      <c r="L283" s="52"/>
    </row>
    <row r="284">
      <c r="A284" s="77"/>
      <c r="B284" s="77"/>
      <c r="C284" s="52"/>
      <c r="D284" s="52"/>
      <c r="E284" s="52"/>
      <c r="F284" s="52"/>
      <c r="G284" s="52"/>
      <c r="H284" s="52"/>
      <c r="I284" s="52"/>
      <c r="J284" s="52"/>
      <c r="K284" s="52"/>
      <c r="L284" s="52"/>
    </row>
    <row r="285">
      <c r="A285" s="77"/>
      <c r="B285" s="77"/>
      <c r="C285" s="52"/>
      <c r="D285" s="52"/>
      <c r="E285" s="52"/>
      <c r="F285" s="52"/>
      <c r="G285" s="52"/>
      <c r="H285" s="52"/>
      <c r="I285" s="52"/>
      <c r="J285" s="52"/>
      <c r="K285" s="52"/>
      <c r="L285" s="52"/>
    </row>
    <row r="286">
      <c r="A286" s="77"/>
      <c r="B286" s="77"/>
      <c r="C286" s="52"/>
      <c r="D286" s="52"/>
      <c r="E286" s="52"/>
      <c r="F286" s="52"/>
      <c r="G286" s="52"/>
      <c r="H286" s="52"/>
      <c r="I286" s="52"/>
      <c r="J286" s="52"/>
      <c r="K286" s="52"/>
      <c r="L286" s="52"/>
    </row>
    <row r="287">
      <c r="A287" s="77"/>
      <c r="B287" s="77"/>
      <c r="C287" s="52"/>
      <c r="D287" s="52"/>
      <c r="E287" s="52"/>
      <c r="F287" s="52"/>
      <c r="G287" s="52"/>
      <c r="H287" s="52"/>
      <c r="I287" s="52"/>
      <c r="J287" s="52"/>
      <c r="K287" s="52"/>
      <c r="L287" s="52"/>
    </row>
    <row r="288">
      <c r="A288" s="77"/>
      <c r="B288" s="77"/>
      <c r="C288" s="52"/>
      <c r="D288" s="52"/>
      <c r="E288" s="52"/>
      <c r="F288" s="52"/>
      <c r="G288" s="52"/>
      <c r="H288" s="52"/>
      <c r="I288" s="52"/>
      <c r="J288" s="52"/>
      <c r="K288" s="52"/>
      <c r="L288" s="52"/>
    </row>
    <row r="289">
      <c r="A289" s="77"/>
      <c r="B289" s="77"/>
      <c r="C289" s="52"/>
      <c r="D289" s="52"/>
      <c r="E289" s="52"/>
      <c r="F289" s="52"/>
      <c r="G289" s="52"/>
      <c r="H289" s="52"/>
      <c r="I289" s="52"/>
      <c r="J289" s="52"/>
      <c r="K289" s="52"/>
      <c r="L289" s="52"/>
    </row>
    <row r="290">
      <c r="A290" s="77"/>
      <c r="B290" s="77"/>
      <c r="C290" s="52"/>
      <c r="D290" s="52"/>
      <c r="E290" s="52"/>
      <c r="F290" s="52"/>
      <c r="G290" s="52"/>
      <c r="H290" s="52"/>
      <c r="I290" s="52"/>
      <c r="J290" s="52"/>
      <c r="K290" s="52"/>
      <c r="L290" s="52"/>
    </row>
    <row r="291">
      <c r="A291" s="77"/>
      <c r="B291" s="77"/>
      <c r="C291" s="52"/>
      <c r="D291" s="52"/>
      <c r="E291" s="52"/>
      <c r="F291" s="52"/>
      <c r="G291" s="52"/>
      <c r="H291" s="52"/>
      <c r="I291" s="52"/>
      <c r="J291" s="52"/>
      <c r="K291" s="52"/>
      <c r="L291" s="52"/>
    </row>
    <row r="292">
      <c r="A292" s="77"/>
      <c r="B292" s="77"/>
      <c r="C292" s="52"/>
      <c r="D292" s="52"/>
      <c r="E292" s="52"/>
      <c r="F292" s="52"/>
      <c r="G292" s="52"/>
      <c r="H292" s="52"/>
      <c r="I292" s="52"/>
      <c r="J292" s="52"/>
      <c r="K292" s="52"/>
      <c r="L292" s="52"/>
    </row>
    <row r="293">
      <c r="A293" s="77"/>
      <c r="B293" s="77"/>
      <c r="C293" s="52"/>
      <c r="D293" s="52"/>
      <c r="E293" s="52"/>
      <c r="F293" s="52"/>
      <c r="G293" s="52"/>
      <c r="H293" s="52"/>
      <c r="I293" s="52"/>
      <c r="J293" s="52"/>
      <c r="K293" s="52"/>
      <c r="L293" s="52"/>
    </row>
    <row r="294">
      <c r="A294" s="77"/>
      <c r="B294" s="77"/>
      <c r="C294" s="52"/>
      <c r="D294" s="52"/>
      <c r="E294" s="52"/>
      <c r="F294" s="52"/>
      <c r="G294" s="52"/>
      <c r="H294" s="52"/>
      <c r="I294" s="52"/>
      <c r="J294" s="52"/>
      <c r="K294" s="52"/>
      <c r="L294" s="52"/>
    </row>
    <row r="295">
      <c r="A295" s="77"/>
      <c r="B295" s="77"/>
      <c r="C295" s="52"/>
      <c r="D295" s="52"/>
      <c r="E295" s="52"/>
      <c r="F295" s="52"/>
      <c r="G295" s="52"/>
      <c r="H295" s="52"/>
      <c r="I295" s="52"/>
      <c r="J295" s="52"/>
      <c r="K295" s="52"/>
      <c r="L295" s="52"/>
    </row>
    <row r="296">
      <c r="A296" s="77"/>
      <c r="B296" s="77"/>
      <c r="C296" s="52"/>
      <c r="D296" s="52"/>
      <c r="E296" s="52"/>
      <c r="F296" s="52"/>
      <c r="G296" s="52"/>
      <c r="H296" s="52"/>
      <c r="I296" s="52"/>
      <c r="J296" s="52"/>
      <c r="K296" s="52"/>
      <c r="L296" s="52"/>
    </row>
    <row r="297">
      <c r="A297" s="77"/>
      <c r="B297" s="77"/>
      <c r="C297" s="52"/>
      <c r="D297" s="52"/>
      <c r="E297" s="52"/>
      <c r="F297" s="52"/>
      <c r="G297" s="52"/>
      <c r="H297" s="52"/>
      <c r="I297" s="52"/>
      <c r="J297" s="52"/>
      <c r="K297" s="52"/>
      <c r="L297" s="52"/>
    </row>
    <row r="298">
      <c r="A298" s="77"/>
      <c r="B298" s="77"/>
      <c r="C298" s="52"/>
      <c r="D298" s="52"/>
      <c r="E298" s="52"/>
      <c r="F298" s="52"/>
      <c r="G298" s="52"/>
      <c r="H298" s="52"/>
      <c r="I298" s="52"/>
      <c r="J298" s="52"/>
      <c r="K298" s="52"/>
      <c r="L298" s="52"/>
    </row>
    <row r="299">
      <c r="A299" s="77"/>
      <c r="B299" s="77"/>
      <c r="C299" s="52"/>
      <c r="D299" s="52"/>
      <c r="E299" s="52"/>
      <c r="F299" s="52"/>
      <c r="G299" s="52"/>
      <c r="H299" s="52"/>
      <c r="I299" s="52"/>
      <c r="J299" s="52"/>
      <c r="K299" s="52"/>
      <c r="L299" s="52"/>
    </row>
    <row r="300">
      <c r="A300" s="77"/>
      <c r="B300" s="77"/>
      <c r="C300" s="52"/>
      <c r="D300" s="52"/>
      <c r="E300" s="52"/>
      <c r="F300" s="52"/>
      <c r="G300" s="52"/>
      <c r="H300" s="52"/>
      <c r="I300" s="52"/>
      <c r="J300" s="52"/>
      <c r="K300" s="52"/>
      <c r="L300" s="52"/>
    </row>
    <row r="301">
      <c r="A301" s="77"/>
      <c r="B301" s="77"/>
      <c r="C301" s="52"/>
      <c r="D301" s="52"/>
      <c r="E301" s="52"/>
      <c r="F301" s="52"/>
      <c r="G301" s="52"/>
      <c r="H301" s="52"/>
      <c r="I301" s="52"/>
      <c r="J301" s="52"/>
      <c r="K301" s="52"/>
      <c r="L301" s="52"/>
    </row>
    <row r="302">
      <c r="A302" s="77"/>
      <c r="B302" s="77"/>
      <c r="C302" s="52"/>
      <c r="D302" s="52"/>
      <c r="E302" s="52"/>
      <c r="F302" s="52"/>
      <c r="G302" s="52"/>
      <c r="H302" s="52"/>
      <c r="I302" s="52"/>
      <c r="J302" s="52"/>
      <c r="K302" s="52"/>
      <c r="L302" s="52"/>
    </row>
    <row r="303">
      <c r="A303" s="77"/>
      <c r="B303" s="77"/>
      <c r="C303" s="52"/>
      <c r="D303" s="52"/>
      <c r="E303" s="52"/>
      <c r="F303" s="52"/>
      <c r="G303" s="52"/>
      <c r="H303" s="52"/>
      <c r="I303" s="52"/>
      <c r="J303" s="52"/>
      <c r="K303" s="52"/>
      <c r="L303" s="52"/>
    </row>
    <row r="304">
      <c r="A304" s="77"/>
      <c r="B304" s="77"/>
      <c r="C304" s="52"/>
      <c r="D304" s="52"/>
      <c r="E304" s="52"/>
      <c r="F304" s="52"/>
      <c r="G304" s="52"/>
      <c r="H304" s="52"/>
      <c r="I304" s="52"/>
      <c r="J304" s="52"/>
      <c r="K304" s="52"/>
      <c r="L304" s="52"/>
    </row>
    <row r="305">
      <c r="A305" s="77"/>
      <c r="B305" s="77"/>
      <c r="C305" s="52"/>
      <c r="D305" s="52"/>
      <c r="E305" s="52"/>
      <c r="F305" s="52"/>
      <c r="G305" s="52"/>
      <c r="H305" s="52"/>
      <c r="I305" s="52"/>
      <c r="J305" s="52"/>
      <c r="K305" s="52"/>
      <c r="L305" s="52"/>
    </row>
    <row r="306">
      <c r="A306" s="77"/>
      <c r="B306" s="77"/>
      <c r="C306" s="52"/>
      <c r="D306" s="52"/>
      <c r="E306" s="52"/>
      <c r="F306" s="52"/>
      <c r="G306" s="52"/>
      <c r="H306" s="52"/>
      <c r="I306" s="52"/>
      <c r="J306" s="52"/>
      <c r="K306" s="52"/>
      <c r="L306" s="52"/>
    </row>
    <row r="307">
      <c r="A307" s="77"/>
      <c r="B307" s="77"/>
      <c r="C307" s="52"/>
      <c r="D307" s="52"/>
      <c r="E307" s="52"/>
      <c r="F307" s="52"/>
      <c r="G307" s="52"/>
      <c r="H307" s="52"/>
      <c r="I307" s="52"/>
      <c r="J307" s="52"/>
      <c r="K307" s="52"/>
      <c r="L307" s="52"/>
    </row>
    <row r="308">
      <c r="A308" s="77"/>
      <c r="B308" s="77"/>
      <c r="C308" s="52"/>
      <c r="D308" s="52"/>
      <c r="E308" s="52"/>
      <c r="F308" s="52"/>
      <c r="G308" s="52"/>
      <c r="H308" s="52"/>
      <c r="I308" s="52"/>
      <c r="J308" s="52"/>
      <c r="K308" s="52"/>
      <c r="L308" s="52"/>
    </row>
    <row r="309">
      <c r="A309" s="77"/>
      <c r="B309" s="77"/>
      <c r="C309" s="52"/>
      <c r="D309" s="52"/>
      <c r="E309" s="52"/>
      <c r="F309" s="52"/>
      <c r="G309" s="52"/>
      <c r="H309" s="52"/>
      <c r="I309" s="52"/>
      <c r="J309" s="52"/>
      <c r="K309" s="52"/>
      <c r="L309" s="52"/>
    </row>
    <row r="310">
      <c r="A310" s="77"/>
      <c r="B310" s="77"/>
      <c r="C310" s="52"/>
      <c r="D310" s="52"/>
      <c r="E310" s="52"/>
      <c r="F310" s="52"/>
      <c r="G310" s="52"/>
      <c r="H310" s="52"/>
      <c r="I310" s="52"/>
      <c r="J310" s="52"/>
      <c r="K310" s="52"/>
      <c r="L310" s="52"/>
    </row>
    <row r="311">
      <c r="A311" s="77"/>
      <c r="B311" s="77"/>
      <c r="C311" s="52"/>
      <c r="D311" s="52"/>
      <c r="E311" s="52"/>
      <c r="F311" s="52"/>
      <c r="G311" s="52"/>
      <c r="H311" s="52"/>
      <c r="I311" s="52"/>
      <c r="J311" s="52"/>
      <c r="K311" s="52"/>
      <c r="L311" s="52"/>
    </row>
    <row r="312">
      <c r="A312" s="77"/>
      <c r="B312" s="77"/>
      <c r="C312" s="52"/>
      <c r="D312" s="52"/>
      <c r="E312" s="52"/>
      <c r="F312" s="52"/>
      <c r="G312" s="52"/>
      <c r="H312" s="52"/>
      <c r="I312" s="52"/>
      <c r="J312" s="52"/>
      <c r="K312" s="52"/>
      <c r="L312" s="52"/>
    </row>
    <row r="313">
      <c r="A313" s="77"/>
      <c r="B313" s="77"/>
      <c r="C313" s="52"/>
      <c r="D313" s="52"/>
      <c r="E313" s="52"/>
      <c r="F313" s="52"/>
      <c r="G313" s="52"/>
      <c r="H313" s="52"/>
      <c r="I313" s="52"/>
      <c r="J313" s="52"/>
      <c r="K313" s="52"/>
      <c r="L313" s="52"/>
    </row>
    <row r="314">
      <c r="A314" s="77"/>
      <c r="B314" s="77"/>
      <c r="C314" s="52"/>
      <c r="D314" s="52"/>
      <c r="E314" s="52"/>
      <c r="F314" s="52"/>
      <c r="G314" s="52"/>
      <c r="H314" s="52"/>
      <c r="I314" s="52"/>
      <c r="J314" s="52"/>
      <c r="K314" s="52"/>
      <c r="L314" s="52"/>
    </row>
    <row r="315">
      <c r="A315" s="77"/>
      <c r="B315" s="77"/>
      <c r="C315" s="52"/>
      <c r="D315" s="52"/>
      <c r="E315" s="52"/>
      <c r="F315" s="52"/>
      <c r="G315" s="52"/>
      <c r="H315" s="52"/>
      <c r="I315" s="52"/>
      <c r="J315" s="52"/>
      <c r="K315" s="52"/>
      <c r="L315" s="52"/>
    </row>
    <row r="316">
      <c r="A316" s="77"/>
      <c r="B316" s="77"/>
      <c r="C316" s="52"/>
      <c r="D316" s="52"/>
      <c r="E316" s="52"/>
      <c r="F316" s="52"/>
      <c r="G316" s="52"/>
      <c r="H316" s="52"/>
      <c r="I316" s="52"/>
      <c r="J316" s="52"/>
      <c r="K316" s="52"/>
      <c r="L316" s="52"/>
    </row>
    <row r="317">
      <c r="A317" s="77"/>
      <c r="B317" s="77"/>
      <c r="C317" s="52"/>
      <c r="D317" s="52"/>
      <c r="E317" s="52"/>
      <c r="F317" s="52"/>
      <c r="G317" s="52"/>
      <c r="H317" s="52"/>
      <c r="I317" s="52"/>
      <c r="J317" s="52"/>
      <c r="K317" s="52"/>
      <c r="L317" s="52"/>
    </row>
    <row r="318">
      <c r="A318" s="77"/>
      <c r="B318" s="77"/>
      <c r="C318" s="52"/>
      <c r="D318" s="52"/>
      <c r="E318" s="52"/>
      <c r="F318" s="52"/>
      <c r="G318" s="52"/>
      <c r="H318" s="52"/>
      <c r="I318" s="52"/>
      <c r="J318" s="52"/>
      <c r="K318" s="52"/>
      <c r="L318" s="52"/>
    </row>
    <row r="319">
      <c r="A319" s="77"/>
      <c r="B319" s="77"/>
      <c r="C319" s="52"/>
      <c r="D319" s="52"/>
      <c r="E319" s="52"/>
      <c r="F319" s="52"/>
      <c r="G319" s="52"/>
      <c r="H319" s="52"/>
      <c r="I319" s="52"/>
      <c r="J319" s="52"/>
      <c r="K319" s="52"/>
      <c r="L319" s="52"/>
    </row>
    <row r="320">
      <c r="A320" s="77"/>
      <c r="B320" s="77"/>
      <c r="C320" s="52"/>
      <c r="D320" s="52"/>
      <c r="E320" s="52"/>
      <c r="F320" s="52"/>
      <c r="G320" s="52"/>
      <c r="H320" s="52"/>
      <c r="I320" s="52"/>
      <c r="J320" s="52"/>
      <c r="K320" s="52"/>
      <c r="L320" s="52"/>
    </row>
    <row r="321">
      <c r="A321" s="77"/>
      <c r="B321" s="77"/>
      <c r="C321" s="52"/>
      <c r="D321" s="52"/>
      <c r="E321" s="52"/>
      <c r="F321" s="52"/>
      <c r="G321" s="52"/>
      <c r="H321" s="52"/>
      <c r="I321" s="52"/>
      <c r="J321" s="52"/>
      <c r="K321" s="52"/>
      <c r="L321" s="52"/>
    </row>
    <row r="322">
      <c r="A322" s="77"/>
      <c r="B322" s="77"/>
      <c r="C322" s="52"/>
      <c r="D322" s="52"/>
      <c r="E322" s="52"/>
      <c r="F322" s="52"/>
      <c r="G322" s="52"/>
      <c r="H322" s="52"/>
      <c r="I322" s="52"/>
      <c r="J322" s="52"/>
      <c r="K322" s="52"/>
      <c r="L322" s="52"/>
    </row>
    <row r="323">
      <c r="A323" s="77"/>
      <c r="B323" s="77"/>
      <c r="C323" s="52"/>
      <c r="D323" s="52"/>
      <c r="E323" s="52"/>
      <c r="F323" s="52"/>
      <c r="G323" s="52"/>
      <c r="H323" s="52"/>
      <c r="I323" s="52"/>
      <c r="J323" s="52"/>
      <c r="K323" s="52"/>
      <c r="L323" s="52"/>
    </row>
    <row r="324">
      <c r="A324" s="77"/>
      <c r="B324" s="77"/>
      <c r="C324" s="52"/>
      <c r="D324" s="52"/>
      <c r="E324" s="52"/>
      <c r="F324" s="52"/>
      <c r="G324" s="52"/>
      <c r="H324" s="52"/>
      <c r="I324" s="52"/>
      <c r="J324" s="52"/>
      <c r="K324" s="52"/>
      <c r="L324" s="52"/>
    </row>
    <row r="325">
      <c r="A325" s="77"/>
      <c r="B325" s="77"/>
      <c r="C325" s="52"/>
      <c r="D325" s="52"/>
      <c r="E325" s="52"/>
      <c r="F325" s="52"/>
      <c r="G325" s="52"/>
      <c r="H325" s="52"/>
      <c r="I325" s="52"/>
      <c r="J325" s="52"/>
      <c r="K325" s="52"/>
      <c r="L325" s="52"/>
    </row>
    <row r="326">
      <c r="A326" s="77"/>
      <c r="B326" s="77"/>
      <c r="C326" s="52"/>
      <c r="D326" s="52"/>
      <c r="E326" s="52"/>
      <c r="F326" s="52"/>
      <c r="G326" s="52"/>
      <c r="H326" s="52"/>
      <c r="I326" s="52"/>
      <c r="J326" s="52"/>
      <c r="K326" s="52"/>
      <c r="L326" s="52"/>
    </row>
    <row r="327">
      <c r="A327" s="77"/>
      <c r="B327" s="77"/>
      <c r="C327" s="52"/>
      <c r="D327" s="52"/>
      <c r="E327" s="52"/>
      <c r="F327" s="52"/>
      <c r="G327" s="52"/>
      <c r="H327" s="52"/>
      <c r="I327" s="52"/>
      <c r="J327" s="52"/>
      <c r="K327" s="52"/>
      <c r="L327" s="52"/>
    </row>
    <row r="328">
      <c r="A328" s="77"/>
      <c r="B328" s="77"/>
      <c r="C328" s="52"/>
      <c r="D328" s="52"/>
      <c r="E328" s="52"/>
      <c r="F328" s="52"/>
      <c r="G328" s="52"/>
      <c r="H328" s="52"/>
      <c r="I328" s="52"/>
      <c r="J328" s="52"/>
      <c r="K328" s="52"/>
      <c r="L328" s="52"/>
    </row>
    <row r="329">
      <c r="A329" s="77"/>
      <c r="B329" s="77"/>
      <c r="C329" s="52"/>
      <c r="D329" s="52"/>
      <c r="E329" s="52"/>
      <c r="F329" s="52"/>
      <c r="G329" s="52"/>
      <c r="H329" s="52"/>
      <c r="I329" s="52"/>
      <c r="J329" s="52"/>
      <c r="K329" s="52"/>
      <c r="L329" s="52"/>
    </row>
    <row r="330">
      <c r="A330" s="77"/>
      <c r="B330" s="77"/>
      <c r="C330" s="52"/>
      <c r="D330" s="52"/>
      <c r="E330" s="52"/>
      <c r="F330" s="52"/>
      <c r="G330" s="52"/>
      <c r="H330" s="52"/>
      <c r="I330" s="52"/>
      <c r="J330" s="52"/>
      <c r="K330" s="52"/>
      <c r="L330" s="52"/>
    </row>
    <row r="331">
      <c r="A331" s="77"/>
      <c r="B331" s="77"/>
      <c r="C331" s="52"/>
      <c r="D331" s="52"/>
      <c r="E331" s="52"/>
      <c r="F331" s="52"/>
      <c r="G331" s="52"/>
      <c r="H331" s="52"/>
      <c r="I331" s="52"/>
      <c r="J331" s="52"/>
      <c r="K331" s="52"/>
      <c r="L331" s="52"/>
    </row>
    <row r="332">
      <c r="A332" s="77"/>
      <c r="B332" s="77"/>
      <c r="C332" s="52"/>
      <c r="D332" s="52"/>
      <c r="E332" s="52"/>
      <c r="F332" s="52"/>
      <c r="G332" s="52"/>
      <c r="H332" s="52"/>
      <c r="I332" s="52"/>
      <c r="J332" s="52"/>
      <c r="K332" s="52"/>
      <c r="L332" s="52"/>
    </row>
    <row r="333">
      <c r="A333" s="77"/>
      <c r="B333" s="77"/>
      <c r="C333" s="52"/>
      <c r="D333" s="52"/>
      <c r="E333" s="52"/>
      <c r="F333" s="52"/>
      <c r="G333" s="52"/>
      <c r="H333" s="52"/>
      <c r="I333" s="52"/>
      <c r="J333" s="52"/>
      <c r="K333" s="52"/>
      <c r="L333" s="52"/>
    </row>
    <row r="334">
      <c r="A334" s="77"/>
      <c r="B334" s="77"/>
      <c r="C334" s="52"/>
      <c r="D334" s="52"/>
      <c r="E334" s="52"/>
      <c r="F334" s="52"/>
      <c r="G334" s="52"/>
      <c r="H334" s="52"/>
      <c r="I334" s="52"/>
      <c r="J334" s="52"/>
      <c r="K334" s="52"/>
      <c r="L334" s="52"/>
    </row>
    <row r="335">
      <c r="A335" s="77"/>
      <c r="B335" s="77"/>
      <c r="C335" s="52"/>
      <c r="D335" s="52"/>
      <c r="E335" s="52"/>
      <c r="F335" s="52"/>
      <c r="G335" s="52"/>
      <c r="H335" s="52"/>
      <c r="I335" s="52"/>
      <c r="J335" s="52"/>
      <c r="K335" s="52"/>
      <c r="L335" s="52"/>
    </row>
    <row r="336">
      <c r="A336" s="77"/>
      <c r="B336" s="77"/>
      <c r="C336" s="52"/>
      <c r="D336" s="52"/>
      <c r="E336" s="52"/>
      <c r="F336" s="52"/>
      <c r="G336" s="52"/>
      <c r="H336" s="52"/>
      <c r="I336" s="52"/>
      <c r="J336" s="52"/>
      <c r="K336" s="52"/>
      <c r="L336" s="52"/>
    </row>
    <row r="337">
      <c r="A337" s="77"/>
      <c r="B337" s="77"/>
      <c r="C337" s="52"/>
      <c r="D337" s="52"/>
      <c r="E337" s="52"/>
      <c r="F337" s="52"/>
      <c r="G337" s="52"/>
      <c r="H337" s="52"/>
      <c r="I337" s="52"/>
      <c r="J337" s="52"/>
      <c r="K337" s="52"/>
      <c r="L337" s="52"/>
    </row>
    <row r="338">
      <c r="A338" s="77"/>
      <c r="B338" s="77"/>
      <c r="C338" s="52"/>
      <c r="D338" s="52"/>
      <c r="E338" s="52"/>
      <c r="F338" s="52"/>
      <c r="G338" s="52"/>
      <c r="H338" s="52"/>
      <c r="I338" s="52"/>
      <c r="J338" s="52"/>
      <c r="K338" s="52"/>
      <c r="L338" s="52"/>
    </row>
    <row r="339">
      <c r="A339" s="77"/>
      <c r="B339" s="77"/>
      <c r="C339" s="52"/>
      <c r="D339" s="52"/>
      <c r="E339" s="52"/>
      <c r="F339" s="52"/>
      <c r="G339" s="52"/>
      <c r="H339" s="52"/>
      <c r="I339" s="52"/>
      <c r="J339" s="52"/>
      <c r="K339" s="52"/>
      <c r="L339" s="52"/>
    </row>
    <row r="340">
      <c r="A340" s="77"/>
      <c r="B340" s="77"/>
      <c r="C340" s="52"/>
      <c r="D340" s="52"/>
      <c r="E340" s="52"/>
      <c r="F340" s="52"/>
      <c r="G340" s="52"/>
      <c r="H340" s="52"/>
      <c r="I340" s="52"/>
      <c r="J340" s="52"/>
      <c r="K340" s="52"/>
      <c r="L340" s="52"/>
    </row>
    <row r="341">
      <c r="A341" s="77"/>
      <c r="B341" s="77"/>
      <c r="C341" s="52"/>
      <c r="D341" s="52"/>
      <c r="E341" s="52"/>
      <c r="F341" s="52"/>
      <c r="G341" s="52"/>
      <c r="H341" s="52"/>
      <c r="I341" s="52"/>
      <c r="J341" s="52"/>
      <c r="K341" s="52"/>
      <c r="L341" s="52"/>
    </row>
    <row r="342">
      <c r="A342" s="77"/>
      <c r="B342" s="77"/>
      <c r="C342" s="52"/>
      <c r="D342" s="52"/>
      <c r="E342" s="52"/>
      <c r="F342" s="52"/>
      <c r="G342" s="52"/>
      <c r="H342" s="52"/>
      <c r="I342" s="52"/>
      <c r="J342" s="52"/>
      <c r="K342" s="52"/>
      <c r="L342" s="52"/>
    </row>
    <row r="343">
      <c r="A343" s="77"/>
      <c r="B343" s="77"/>
      <c r="C343" s="52"/>
      <c r="D343" s="52"/>
      <c r="E343" s="52"/>
      <c r="F343" s="52"/>
      <c r="G343" s="52"/>
      <c r="H343" s="52"/>
      <c r="I343" s="52"/>
      <c r="J343" s="52"/>
      <c r="K343" s="52"/>
      <c r="L343" s="52"/>
    </row>
    <row r="344">
      <c r="A344" s="77"/>
      <c r="B344" s="77"/>
      <c r="C344" s="52"/>
      <c r="D344" s="52"/>
      <c r="E344" s="52"/>
      <c r="F344" s="52"/>
      <c r="G344" s="52"/>
      <c r="H344" s="52"/>
      <c r="I344" s="52"/>
      <c r="J344" s="52"/>
      <c r="K344" s="52"/>
      <c r="L344" s="52"/>
    </row>
    <row r="345">
      <c r="A345" s="77"/>
      <c r="B345" s="77"/>
      <c r="C345" s="52"/>
      <c r="D345" s="52"/>
      <c r="E345" s="52"/>
      <c r="F345" s="52"/>
      <c r="G345" s="52"/>
      <c r="H345" s="52"/>
      <c r="I345" s="52"/>
      <c r="J345" s="52"/>
      <c r="K345" s="52"/>
      <c r="L345" s="52"/>
    </row>
    <row r="346">
      <c r="A346" s="77"/>
      <c r="B346" s="77"/>
      <c r="C346" s="52"/>
      <c r="D346" s="52"/>
      <c r="E346" s="52"/>
      <c r="F346" s="52"/>
      <c r="G346" s="52"/>
      <c r="H346" s="52"/>
      <c r="I346" s="52"/>
      <c r="J346" s="52"/>
      <c r="K346" s="52"/>
      <c r="L346" s="52"/>
    </row>
    <row r="347">
      <c r="A347" s="77"/>
      <c r="B347" s="77"/>
      <c r="C347" s="52"/>
      <c r="D347" s="52"/>
      <c r="E347" s="52"/>
      <c r="F347" s="52"/>
      <c r="G347" s="52"/>
      <c r="H347" s="52"/>
      <c r="I347" s="52"/>
      <c r="J347" s="52"/>
      <c r="K347" s="52"/>
      <c r="L347" s="52"/>
    </row>
    <row r="348">
      <c r="A348" s="77"/>
      <c r="B348" s="77"/>
      <c r="C348" s="52"/>
      <c r="D348" s="52"/>
      <c r="E348" s="52"/>
      <c r="F348" s="52"/>
      <c r="G348" s="52"/>
      <c r="H348" s="52"/>
      <c r="I348" s="52"/>
      <c r="J348" s="52"/>
      <c r="K348" s="52"/>
      <c r="L348" s="52"/>
    </row>
    <row r="349">
      <c r="A349" s="77"/>
      <c r="B349" s="77"/>
      <c r="C349" s="52"/>
      <c r="D349" s="52"/>
      <c r="E349" s="52"/>
      <c r="F349" s="52"/>
      <c r="G349" s="52"/>
      <c r="H349" s="52"/>
      <c r="I349" s="52"/>
      <c r="J349" s="52"/>
      <c r="K349" s="52"/>
      <c r="L349" s="52"/>
    </row>
    <row r="350">
      <c r="A350" s="77"/>
      <c r="B350" s="77"/>
      <c r="C350" s="52"/>
      <c r="D350" s="52"/>
      <c r="E350" s="52"/>
      <c r="F350" s="52"/>
      <c r="G350" s="52"/>
      <c r="H350" s="52"/>
      <c r="I350" s="52"/>
      <c r="J350" s="52"/>
      <c r="K350" s="52"/>
      <c r="L350" s="52"/>
    </row>
    <row r="351">
      <c r="A351" s="77"/>
      <c r="B351" s="77"/>
      <c r="C351" s="52"/>
      <c r="D351" s="52"/>
      <c r="E351" s="52"/>
      <c r="F351" s="52"/>
      <c r="G351" s="52"/>
      <c r="H351" s="52"/>
      <c r="I351" s="52"/>
      <c r="J351" s="52"/>
      <c r="K351" s="52"/>
      <c r="L351" s="52"/>
    </row>
    <row r="352">
      <c r="A352" s="77"/>
      <c r="B352" s="77"/>
      <c r="C352" s="52"/>
      <c r="D352" s="52"/>
      <c r="E352" s="52"/>
      <c r="F352" s="52"/>
      <c r="G352" s="52"/>
      <c r="H352" s="52"/>
      <c r="I352" s="52"/>
      <c r="J352" s="52"/>
      <c r="K352" s="52"/>
      <c r="L352" s="52"/>
    </row>
    <row r="353">
      <c r="A353" s="77"/>
      <c r="B353" s="77"/>
      <c r="C353" s="52"/>
      <c r="D353" s="52"/>
      <c r="E353" s="52"/>
      <c r="F353" s="52"/>
      <c r="G353" s="52"/>
      <c r="H353" s="52"/>
      <c r="I353" s="52"/>
      <c r="J353" s="52"/>
      <c r="K353" s="52"/>
      <c r="L353" s="52"/>
    </row>
    <row r="354">
      <c r="A354" s="77"/>
      <c r="B354" s="77"/>
      <c r="C354" s="52"/>
      <c r="D354" s="52"/>
      <c r="E354" s="52"/>
      <c r="F354" s="52"/>
      <c r="G354" s="52"/>
      <c r="H354" s="52"/>
      <c r="I354" s="52"/>
      <c r="J354" s="52"/>
      <c r="K354" s="52"/>
      <c r="L354" s="52"/>
    </row>
    <row r="355">
      <c r="A355" s="77"/>
      <c r="B355" s="77"/>
      <c r="C355" s="52"/>
      <c r="D355" s="52"/>
      <c r="E355" s="52"/>
      <c r="F355" s="52"/>
      <c r="G355" s="52"/>
      <c r="H355" s="52"/>
      <c r="I355" s="52"/>
      <c r="J355" s="52"/>
      <c r="K355" s="52"/>
      <c r="L355" s="52"/>
    </row>
    <row r="356">
      <c r="A356" s="77"/>
      <c r="B356" s="77"/>
      <c r="C356" s="52"/>
      <c r="D356" s="52"/>
      <c r="E356" s="52"/>
      <c r="F356" s="52"/>
      <c r="G356" s="52"/>
      <c r="H356" s="52"/>
      <c r="I356" s="52"/>
      <c r="J356" s="52"/>
      <c r="K356" s="52"/>
      <c r="L356" s="52"/>
    </row>
    <row r="357">
      <c r="A357" s="77"/>
      <c r="B357" s="77"/>
      <c r="C357" s="52"/>
      <c r="D357" s="52"/>
      <c r="E357" s="52"/>
      <c r="F357" s="52"/>
      <c r="G357" s="52"/>
      <c r="H357" s="52"/>
      <c r="I357" s="52"/>
      <c r="J357" s="52"/>
      <c r="K357" s="52"/>
      <c r="L357" s="52"/>
    </row>
    <row r="358">
      <c r="A358" s="77"/>
      <c r="B358" s="77"/>
      <c r="C358" s="52"/>
      <c r="D358" s="52"/>
      <c r="E358" s="52"/>
      <c r="F358" s="52"/>
      <c r="G358" s="52"/>
      <c r="H358" s="52"/>
      <c r="I358" s="52"/>
      <c r="J358" s="52"/>
      <c r="K358" s="52"/>
      <c r="L358" s="52"/>
    </row>
    <row r="359">
      <c r="A359" s="77"/>
      <c r="B359" s="77"/>
      <c r="C359" s="52"/>
      <c r="D359" s="52"/>
      <c r="E359" s="52"/>
      <c r="F359" s="52"/>
      <c r="G359" s="52"/>
      <c r="H359" s="52"/>
      <c r="I359" s="52"/>
      <c r="J359" s="52"/>
      <c r="K359" s="52"/>
      <c r="L359" s="52"/>
    </row>
    <row r="360">
      <c r="A360" s="77"/>
      <c r="B360" s="77"/>
      <c r="C360" s="52"/>
      <c r="D360" s="52"/>
      <c r="E360" s="52"/>
      <c r="F360" s="52"/>
      <c r="G360" s="52"/>
      <c r="H360" s="52"/>
      <c r="I360" s="52"/>
      <c r="J360" s="52"/>
      <c r="K360" s="52"/>
      <c r="L360" s="52"/>
    </row>
    <row r="361">
      <c r="A361" s="77"/>
      <c r="B361" s="77"/>
      <c r="C361" s="52"/>
      <c r="D361" s="52"/>
      <c r="E361" s="52"/>
      <c r="F361" s="52"/>
      <c r="G361" s="52"/>
      <c r="H361" s="52"/>
      <c r="I361" s="52"/>
      <c r="J361" s="52"/>
      <c r="K361" s="52"/>
      <c r="L361" s="52"/>
    </row>
    <row r="362">
      <c r="A362" s="77"/>
      <c r="B362" s="77"/>
      <c r="C362" s="52"/>
      <c r="D362" s="52"/>
      <c r="E362" s="52"/>
      <c r="F362" s="52"/>
      <c r="G362" s="52"/>
      <c r="H362" s="52"/>
      <c r="I362" s="52"/>
      <c r="J362" s="52"/>
      <c r="K362" s="52"/>
      <c r="L362" s="52"/>
    </row>
    <row r="363">
      <c r="A363" s="77"/>
      <c r="B363" s="77"/>
      <c r="C363" s="52"/>
      <c r="D363" s="52"/>
      <c r="E363" s="52"/>
      <c r="F363" s="52"/>
      <c r="G363" s="52"/>
      <c r="H363" s="52"/>
      <c r="I363" s="52"/>
      <c r="J363" s="52"/>
      <c r="K363" s="52"/>
      <c r="L363" s="52"/>
    </row>
    <row r="364">
      <c r="A364" s="77"/>
      <c r="B364" s="77"/>
      <c r="C364" s="52"/>
      <c r="D364" s="52"/>
      <c r="E364" s="52"/>
      <c r="F364" s="52"/>
      <c r="G364" s="52"/>
      <c r="H364" s="52"/>
      <c r="I364" s="52"/>
      <c r="J364" s="52"/>
      <c r="K364" s="52"/>
      <c r="L364" s="52"/>
    </row>
    <row r="365">
      <c r="A365" s="77"/>
      <c r="B365" s="77"/>
      <c r="C365" s="52"/>
      <c r="D365" s="52"/>
      <c r="E365" s="52"/>
      <c r="F365" s="52"/>
      <c r="G365" s="52"/>
      <c r="H365" s="52"/>
      <c r="I365" s="52"/>
      <c r="J365" s="52"/>
      <c r="K365" s="52"/>
      <c r="L365" s="52"/>
    </row>
    <row r="366">
      <c r="A366" s="77"/>
      <c r="B366" s="77"/>
      <c r="C366" s="52"/>
      <c r="D366" s="52"/>
      <c r="E366" s="52"/>
      <c r="F366" s="52"/>
      <c r="G366" s="52"/>
      <c r="H366" s="52"/>
      <c r="I366" s="52"/>
      <c r="J366" s="52"/>
      <c r="K366" s="52"/>
      <c r="L366" s="52"/>
    </row>
    <row r="367">
      <c r="A367" s="77"/>
      <c r="B367" s="77"/>
      <c r="C367" s="52"/>
      <c r="D367" s="52"/>
      <c r="E367" s="52"/>
      <c r="F367" s="52"/>
      <c r="G367" s="52"/>
      <c r="H367" s="52"/>
      <c r="I367" s="52"/>
      <c r="J367" s="52"/>
      <c r="K367" s="52"/>
      <c r="L367" s="52"/>
    </row>
    <row r="368">
      <c r="A368" s="77"/>
      <c r="B368" s="77"/>
      <c r="C368" s="52"/>
      <c r="D368" s="52"/>
      <c r="E368" s="52"/>
      <c r="F368" s="52"/>
      <c r="G368" s="52"/>
      <c r="H368" s="52"/>
      <c r="I368" s="52"/>
      <c r="J368" s="52"/>
      <c r="K368" s="52"/>
      <c r="L368" s="52"/>
    </row>
    <row r="369">
      <c r="A369" s="77"/>
      <c r="B369" s="77"/>
      <c r="C369" s="52"/>
      <c r="D369" s="52"/>
      <c r="E369" s="52"/>
      <c r="F369" s="52"/>
      <c r="G369" s="52"/>
      <c r="H369" s="52"/>
      <c r="I369" s="52"/>
      <c r="J369" s="52"/>
      <c r="K369" s="52"/>
      <c r="L369" s="52"/>
    </row>
    <row r="370">
      <c r="A370" s="77"/>
      <c r="B370" s="77"/>
      <c r="C370" s="52"/>
      <c r="D370" s="52"/>
      <c r="E370" s="52"/>
      <c r="F370" s="52"/>
      <c r="G370" s="52"/>
      <c r="H370" s="52"/>
      <c r="I370" s="52"/>
      <c r="J370" s="52"/>
      <c r="K370" s="52"/>
      <c r="L370" s="52"/>
    </row>
    <row r="371">
      <c r="A371" s="77"/>
      <c r="B371" s="77"/>
      <c r="C371" s="52"/>
      <c r="D371" s="52"/>
      <c r="E371" s="52"/>
      <c r="F371" s="52"/>
      <c r="G371" s="52"/>
      <c r="H371" s="52"/>
      <c r="I371" s="52"/>
      <c r="J371" s="52"/>
      <c r="K371" s="52"/>
      <c r="L371" s="52"/>
    </row>
    <row r="372">
      <c r="A372" s="77"/>
      <c r="B372" s="77"/>
      <c r="C372" s="52"/>
      <c r="D372" s="52"/>
      <c r="E372" s="52"/>
      <c r="F372" s="52"/>
      <c r="G372" s="52"/>
      <c r="H372" s="52"/>
      <c r="I372" s="52"/>
      <c r="J372" s="52"/>
      <c r="K372" s="52"/>
      <c r="L372" s="52"/>
    </row>
    <row r="373">
      <c r="A373" s="77"/>
      <c r="B373" s="77"/>
      <c r="C373" s="52"/>
      <c r="D373" s="52"/>
      <c r="E373" s="52"/>
      <c r="F373" s="52"/>
      <c r="G373" s="52"/>
      <c r="H373" s="52"/>
      <c r="I373" s="52"/>
      <c r="J373" s="52"/>
      <c r="K373" s="52"/>
      <c r="L373" s="52"/>
    </row>
    <row r="374">
      <c r="A374" s="77"/>
      <c r="B374" s="77"/>
      <c r="C374" s="52"/>
      <c r="D374" s="52"/>
      <c r="E374" s="52"/>
      <c r="F374" s="52"/>
      <c r="G374" s="52"/>
      <c r="H374" s="52"/>
      <c r="I374" s="52"/>
      <c r="J374" s="52"/>
      <c r="K374" s="52"/>
      <c r="L374" s="52"/>
    </row>
    <row r="375">
      <c r="A375" s="77"/>
      <c r="B375" s="77"/>
      <c r="C375" s="52"/>
      <c r="D375" s="52"/>
      <c r="E375" s="52"/>
      <c r="F375" s="52"/>
      <c r="G375" s="52"/>
      <c r="H375" s="52"/>
      <c r="I375" s="52"/>
      <c r="J375" s="52"/>
      <c r="K375" s="52"/>
      <c r="L375" s="52"/>
    </row>
    <row r="376">
      <c r="A376" s="77"/>
      <c r="B376" s="77"/>
      <c r="C376" s="52"/>
      <c r="D376" s="52"/>
      <c r="E376" s="52"/>
      <c r="F376" s="52"/>
      <c r="G376" s="52"/>
      <c r="H376" s="52"/>
      <c r="I376" s="52"/>
      <c r="J376" s="52"/>
      <c r="K376" s="52"/>
      <c r="L376" s="52"/>
    </row>
    <row r="377">
      <c r="A377" s="77"/>
      <c r="B377" s="77"/>
      <c r="C377" s="52"/>
      <c r="D377" s="52"/>
      <c r="E377" s="52"/>
      <c r="F377" s="52"/>
      <c r="G377" s="52"/>
      <c r="H377" s="52"/>
      <c r="I377" s="52"/>
      <c r="J377" s="52"/>
      <c r="K377" s="52"/>
      <c r="L377" s="52"/>
    </row>
    <row r="378">
      <c r="A378" s="77"/>
      <c r="B378" s="77"/>
      <c r="C378" s="52"/>
      <c r="D378" s="52"/>
      <c r="E378" s="52"/>
      <c r="F378" s="52"/>
      <c r="G378" s="52"/>
      <c r="H378" s="52"/>
      <c r="I378" s="52"/>
      <c r="J378" s="52"/>
      <c r="K378" s="52"/>
      <c r="L378" s="52"/>
    </row>
    <row r="379">
      <c r="A379" s="77"/>
      <c r="B379" s="77"/>
      <c r="C379" s="52"/>
      <c r="D379" s="52"/>
      <c r="E379" s="52"/>
      <c r="F379" s="52"/>
      <c r="G379" s="52"/>
      <c r="H379" s="52"/>
      <c r="I379" s="52"/>
      <c r="J379" s="52"/>
      <c r="K379" s="52"/>
      <c r="L379" s="52"/>
    </row>
    <row r="380">
      <c r="A380" s="77"/>
      <c r="B380" s="77"/>
      <c r="C380" s="52"/>
      <c r="D380" s="52"/>
      <c r="E380" s="52"/>
      <c r="F380" s="52"/>
      <c r="G380" s="52"/>
      <c r="H380" s="52"/>
      <c r="I380" s="52"/>
      <c r="J380" s="52"/>
      <c r="K380" s="52"/>
      <c r="L380" s="52"/>
    </row>
    <row r="381">
      <c r="A381" s="77"/>
      <c r="B381" s="77"/>
      <c r="C381" s="52"/>
      <c r="D381" s="52"/>
      <c r="E381" s="52"/>
      <c r="F381" s="52"/>
      <c r="G381" s="52"/>
      <c r="H381" s="52"/>
      <c r="I381" s="52"/>
      <c r="J381" s="52"/>
      <c r="K381" s="52"/>
      <c r="L381" s="52"/>
    </row>
    <row r="382">
      <c r="A382" s="77"/>
      <c r="B382" s="77"/>
      <c r="C382" s="52"/>
      <c r="D382" s="52"/>
      <c r="E382" s="52"/>
      <c r="F382" s="52"/>
      <c r="G382" s="52"/>
      <c r="H382" s="52"/>
      <c r="I382" s="52"/>
      <c r="J382" s="52"/>
      <c r="K382" s="52"/>
      <c r="L382" s="52"/>
    </row>
    <row r="383">
      <c r="A383" s="77"/>
      <c r="B383" s="77"/>
      <c r="C383" s="52"/>
      <c r="D383" s="52"/>
      <c r="E383" s="52"/>
      <c r="F383" s="52"/>
      <c r="G383" s="52"/>
      <c r="H383" s="52"/>
      <c r="I383" s="52"/>
      <c r="J383" s="52"/>
      <c r="K383" s="52"/>
      <c r="L383" s="52"/>
    </row>
    <row r="384">
      <c r="A384" s="77"/>
      <c r="B384" s="77"/>
      <c r="C384" s="52"/>
      <c r="D384" s="52"/>
      <c r="E384" s="52"/>
      <c r="F384" s="52"/>
      <c r="G384" s="52"/>
      <c r="H384" s="52"/>
      <c r="I384" s="52"/>
      <c r="J384" s="52"/>
      <c r="K384" s="52"/>
      <c r="L384" s="52"/>
    </row>
    <row r="385">
      <c r="A385" s="77"/>
      <c r="B385" s="77"/>
      <c r="C385" s="52"/>
      <c r="D385" s="52"/>
      <c r="E385" s="52"/>
      <c r="F385" s="52"/>
      <c r="G385" s="52"/>
      <c r="H385" s="52"/>
      <c r="I385" s="52"/>
      <c r="J385" s="52"/>
      <c r="K385" s="52"/>
      <c r="L385" s="52"/>
    </row>
    <row r="386">
      <c r="A386" s="77"/>
      <c r="B386" s="77"/>
      <c r="C386" s="52"/>
      <c r="D386" s="52"/>
      <c r="E386" s="52"/>
      <c r="F386" s="52"/>
      <c r="G386" s="52"/>
      <c r="H386" s="52"/>
      <c r="I386" s="52"/>
      <c r="J386" s="52"/>
      <c r="K386" s="52"/>
      <c r="L386" s="52"/>
    </row>
    <row r="387">
      <c r="A387" s="77"/>
      <c r="B387" s="77"/>
      <c r="C387" s="52"/>
      <c r="D387" s="52"/>
      <c r="E387" s="52"/>
      <c r="F387" s="52"/>
      <c r="G387" s="52"/>
      <c r="H387" s="52"/>
      <c r="I387" s="52"/>
      <c r="J387" s="52"/>
      <c r="K387" s="52"/>
      <c r="L387" s="52"/>
    </row>
    <row r="388">
      <c r="A388" s="77"/>
      <c r="B388" s="77"/>
      <c r="C388" s="52"/>
      <c r="D388" s="52"/>
      <c r="E388" s="52"/>
      <c r="F388" s="52"/>
      <c r="G388" s="52"/>
      <c r="H388" s="52"/>
      <c r="I388" s="52"/>
      <c r="J388" s="52"/>
      <c r="K388" s="52"/>
      <c r="L388" s="52"/>
    </row>
    <row r="389">
      <c r="A389" s="77"/>
      <c r="B389" s="77"/>
      <c r="C389" s="52"/>
      <c r="D389" s="52"/>
      <c r="E389" s="52"/>
      <c r="F389" s="52"/>
      <c r="G389" s="52"/>
      <c r="H389" s="52"/>
      <c r="I389" s="52"/>
      <c r="J389" s="52"/>
      <c r="K389" s="52"/>
      <c r="L389" s="52"/>
    </row>
    <row r="390">
      <c r="A390" s="77"/>
      <c r="B390" s="77"/>
      <c r="C390" s="52"/>
      <c r="D390" s="52"/>
      <c r="E390" s="52"/>
      <c r="F390" s="52"/>
      <c r="G390" s="52"/>
      <c r="H390" s="52"/>
      <c r="I390" s="52"/>
      <c r="J390" s="52"/>
      <c r="K390" s="52"/>
      <c r="L390" s="52"/>
    </row>
    <row r="391">
      <c r="A391" s="77"/>
      <c r="B391" s="77"/>
      <c r="C391" s="52"/>
      <c r="D391" s="52"/>
      <c r="E391" s="52"/>
      <c r="F391" s="52"/>
      <c r="G391" s="52"/>
      <c r="H391" s="52"/>
      <c r="I391" s="52"/>
      <c r="J391" s="52"/>
      <c r="K391" s="52"/>
      <c r="L391" s="52"/>
    </row>
    <row r="392">
      <c r="A392" s="77"/>
      <c r="B392" s="77"/>
      <c r="C392" s="52"/>
      <c r="D392" s="52"/>
      <c r="E392" s="52"/>
      <c r="F392" s="52"/>
      <c r="G392" s="52"/>
      <c r="H392" s="52"/>
      <c r="I392" s="52"/>
      <c r="J392" s="52"/>
      <c r="K392" s="52"/>
      <c r="L392" s="52"/>
    </row>
    <row r="393">
      <c r="A393" s="77"/>
      <c r="B393" s="77"/>
      <c r="C393" s="52"/>
      <c r="D393" s="52"/>
      <c r="E393" s="52"/>
      <c r="F393" s="52"/>
      <c r="G393" s="52"/>
      <c r="H393" s="52"/>
      <c r="I393" s="52"/>
      <c r="J393" s="52"/>
      <c r="K393" s="52"/>
      <c r="L393" s="52"/>
    </row>
    <row r="394">
      <c r="A394" s="77"/>
      <c r="B394" s="77"/>
      <c r="C394" s="52"/>
      <c r="D394" s="52"/>
      <c r="E394" s="52"/>
      <c r="F394" s="52"/>
      <c r="G394" s="52"/>
      <c r="H394" s="52"/>
      <c r="I394" s="52"/>
      <c r="J394" s="52"/>
      <c r="K394" s="52"/>
      <c r="L394" s="52"/>
    </row>
    <row r="395">
      <c r="A395" s="77"/>
      <c r="B395" s="77"/>
      <c r="C395" s="52"/>
      <c r="D395" s="52"/>
      <c r="E395" s="52"/>
      <c r="F395" s="52"/>
      <c r="G395" s="52"/>
      <c r="H395" s="52"/>
      <c r="I395" s="52"/>
      <c r="J395" s="52"/>
      <c r="K395" s="52"/>
      <c r="L395" s="52"/>
    </row>
    <row r="396">
      <c r="A396" s="77"/>
      <c r="B396" s="77"/>
      <c r="C396" s="52"/>
      <c r="D396" s="52"/>
      <c r="E396" s="52"/>
      <c r="F396" s="52"/>
      <c r="G396" s="52"/>
      <c r="H396" s="52"/>
      <c r="I396" s="52"/>
      <c r="J396" s="52"/>
      <c r="K396" s="52"/>
      <c r="L396" s="52"/>
    </row>
    <row r="397">
      <c r="A397" s="77"/>
      <c r="B397" s="77"/>
      <c r="C397" s="52"/>
      <c r="D397" s="52"/>
      <c r="E397" s="52"/>
      <c r="F397" s="52"/>
      <c r="G397" s="52"/>
      <c r="H397" s="52"/>
      <c r="I397" s="52"/>
      <c r="J397" s="52"/>
      <c r="K397" s="52"/>
      <c r="L397" s="52"/>
    </row>
    <row r="398">
      <c r="A398" s="77"/>
      <c r="B398" s="77"/>
      <c r="C398" s="52"/>
      <c r="D398" s="52"/>
      <c r="E398" s="52"/>
      <c r="F398" s="52"/>
      <c r="G398" s="52"/>
      <c r="H398" s="52"/>
      <c r="I398" s="52"/>
      <c r="J398" s="52"/>
      <c r="K398" s="52"/>
      <c r="L398" s="52"/>
    </row>
    <row r="399">
      <c r="A399" s="77"/>
      <c r="B399" s="77"/>
      <c r="C399" s="52"/>
      <c r="D399" s="52"/>
      <c r="E399" s="52"/>
      <c r="F399" s="52"/>
      <c r="G399" s="52"/>
      <c r="H399" s="52"/>
      <c r="I399" s="52"/>
      <c r="J399" s="52"/>
      <c r="K399" s="52"/>
      <c r="L399" s="52"/>
    </row>
    <row r="400">
      <c r="A400" s="77"/>
      <c r="B400" s="77"/>
      <c r="C400" s="52"/>
      <c r="D400" s="52"/>
      <c r="E400" s="52"/>
      <c r="F400" s="52"/>
      <c r="G400" s="52"/>
      <c r="H400" s="52"/>
      <c r="I400" s="52"/>
      <c r="J400" s="52"/>
      <c r="K400" s="52"/>
      <c r="L400" s="52"/>
    </row>
    <row r="401">
      <c r="A401" s="77"/>
      <c r="B401" s="77"/>
      <c r="C401" s="52"/>
      <c r="D401" s="52"/>
      <c r="E401" s="52"/>
      <c r="F401" s="52"/>
      <c r="G401" s="52"/>
      <c r="H401" s="52"/>
      <c r="I401" s="52"/>
      <c r="J401" s="52"/>
      <c r="K401" s="52"/>
      <c r="L401" s="52"/>
    </row>
    <row r="402">
      <c r="A402" s="77"/>
      <c r="B402" s="77"/>
      <c r="C402" s="52"/>
      <c r="D402" s="52"/>
      <c r="E402" s="52"/>
      <c r="F402" s="52"/>
      <c r="G402" s="52"/>
      <c r="H402" s="52"/>
      <c r="I402" s="52"/>
      <c r="J402" s="52"/>
      <c r="K402" s="52"/>
      <c r="L402" s="52"/>
    </row>
    <row r="403">
      <c r="A403" s="77"/>
      <c r="B403" s="77"/>
      <c r="C403" s="52"/>
      <c r="D403" s="52"/>
      <c r="E403" s="52"/>
      <c r="F403" s="52"/>
      <c r="G403" s="52"/>
      <c r="H403" s="52"/>
      <c r="I403" s="52"/>
      <c r="J403" s="52"/>
      <c r="K403" s="52"/>
      <c r="L403" s="52"/>
    </row>
    <row r="404">
      <c r="A404" s="77"/>
      <c r="B404" s="77"/>
      <c r="C404" s="52"/>
      <c r="D404" s="52"/>
      <c r="E404" s="52"/>
      <c r="F404" s="52"/>
      <c r="G404" s="52"/>
      <c r="H404" s="52"/>
      <c r="I404" s="52"/>
      <c r="J404" s="52"/>
      <c r="K404" s="52"/>
      <c r="L404" s="52"/>
    </row>
    <row r="405">
      <c r="A405" s="77"/>
      <c r="B405" s="77"/>
      <c r="C405" s="52"/>
      <c r="D405" s="52"/>
      <c r="E405" s="52"/>
      <c r="F405" s="52"/>
      <c r="G405" s="52"/>
      <c r="H405" s="52"/>
      <c r="I405" s="52"/>
      <c r="J405" s="52"/>
      <c r="K405" s="52"/>
      <c r="L405" s="52"/>
    </row>
    <row r="406">
      <c r="A406" s="77"/>
      <c r="B406" s="77"/>
      <c r="C406" s="52"/>
      <c r="D406" s="52"/>
      <c r="E406" s="52"/>
      <c r="F406" s="52"/>
      <c r="G406" s="52"/>
      <c r="H406" s="52"/>
      <c r="I406" s="52"/>
      <c r="J406" s="52"/>
      <c r="K406" s="52"/>
      <c r="L406" s="52"/>
    </row>
    <row r="407">
      <c r="A407" s="77"/>
      <c r="B407" s="77"/>
      <c r="C407" s="52"/>
      <c r="D407" s="52"/>
      <c r="E407" s="52"/>
      <c r="F407" s="52"/>
      <c r="G407" s="52"/>
      <c r="H407" s="52"/>
      <c r="I407" s="52"/>
      <c r="J407" s="52"/>
      <c r="K407" s="52"/>
      <c r="L407" s="52"/>
    </row>
    <row r="408">
      <c r="A408" s="77"/>
      <c r="B408" s="77"/>
      <c r="C408" s="52"/>
      <c r="D408" s="52"/>
      <c r="E408" s="52"/>
      <c r="F408" s="52"/>
      <c r="G408" s="52"/>
      <c r="H408" s="52"/>
      <c r="I408" s="52"/>
      <c r="J408" s="52"/>
      <c r="K408" s="52"/>
      <c r="L408" s="52"/>
    </row>
    <row r="409">
      <c r="A409" s="77"/>
      <c r="B409" s="77"/>
      <c r="C409" s="52"/>
      <c r="D409" s="52"/>
      <c r="E409" s="52"/>
      <c r="F409" s="52"/>
      <c r="G409" s="52"/>
      <c r="H409" s="52"/>
      <c r="I409" s="52"/>
      <c r="J409" s="52"/>
      <c r="K409" s="52"/>
      <c r="L409" s="52"/>
    </row>
    <row r="410">
      <c r="A410" s="77"/>
      <c r="B410" s="77"/>
      <c r="C410" s="52"/>
      <c r="D410" s="52"/>
      <c r="E410" s="52"/>
      <c r="F410" s="52"/>
      <c r="G410" s="52"/>
      <c r="H410" s="52"/>
      <c r="I410" s="52"/>
      <c r="J410" s="52"/>
      <c r="K410" s="52"/>
      <c r="L410" s="52"/>
    </row>
    <row r="411">
      <c r="A411" s="77"/>
      <c r="B411" s="77"/>
      <c r="C411" s="52"/>
      <c r="D411" s="52"/>
      <c r="E411" s="52"/>
      <c r="F411" s="52"/>
      <c r="G411" s="52"/>
      <c r="H411" s="52"/>
      <c r="I411" s="52"/>
      <c r="J411" s="52"/>
      <c r="K411" s="52"/>
      <c r="L411" s="52"/>
    </row>
    <row r="412">
      <c r="A412" s="77"/>
      <c r="B412" s="77"/>
      <c r="C412" s="52"/>
      <c r="D412" s="52"/>
      <c r="E412" s="52"/>
      <c r="F412" s="52"/>
      <c r="G412" s="52"/>
      <c r="H412" s="52"/>
      <c r="I412" s="52"/>
      <c r="J412" s="52"/>
      <c r="K412" s="52"/>
      <c r="L412" s="52"/>
    </row>
    <row r="413">
      <c r="A413" s="77"/>
      <c r="B413" s="77"/>
      <c r="C413" s="52"/>
      <c r="D413" s="52"/>
      <c r="E413" s="52"/>
      <c r="F413" s="52"/>
      <c r="G413" s="52"/>
      <c r="H413" s="52"/>
      <c r="I413" s="52"/>
      <c r="J413" s="52"/>
      <c r="K413" s="52"/>
      <c r="L413" s="52"/>
    </row>
    <row r="414">
      <c r="A414" s="77"/>
      <c r="B414" s="77"/>
      <c r="C414" s="52"/>
      <c r="D414" s="52"/>
      <c r="E414" s="52"/>
      <c r="F414" s="52"/>
      <c r="G414" s="52"/>
      <c r="H414" s="52"/>
      <c r="I414" s="52"/>
      <c r="J414" s="52"/>
      <c r="K414" s="52"/>
      <c r="L414" s="52"/>
    </row>
    <row r="415">
      <c r="A415" s="77"/>
      <c r="B415" s="77"/>
      <c r="C415" s="52"/>
      <c r="D415" s="52"/>
      <c r="E415" s="52"/>
      <c r="F415" s="52"/>
      <c r="G415" s="52"/>
      <c r="H415" s="52"/>
      <c r="I415" s="52"/>
      <c r="J415" s="52"/>
      <c r="K415" s="52"/>
      <c r="L415" s="52"/>
    </row>
    <row r="416">
      <c r="A416" s="77"/>
      <c r="B416" s="77"/>
      <c r="C416" s="52"/>
      <c r="D416" s="52"/>
      <c r="E416" s="52"/>
      <c r="F416" s="52"/>
      <c r="G416" s="52"/>
      <c r="H416" s="52"/>
      <c r="I416" s="52"/>
      <c r="J416" s="52"/>
      <c r="K416" s="52"/>
      <c r="L416" s="52"/>
    </row>
    <row r="417">
      <c r="A417" s="77"/>
      <c r="B417" s="77"/>
      <c r="C417" s="52"/>
      <c r="D417" s="52"/>
      <c r="E417" s="52"/>
      <c r="F417" s="52"/>
      <c r="G417" s="52"/>
      <c r="H417" s="52"/>
      <c r="I417" s="52"/>
      <c r="J417" s="52"/>
      <c r="K417" s="52"/>
      <c r="L417" s="52"/>
    </row>
    <row r="418">
      <c r="A418" s="77"/>
      <c r="B418" s="77"/>
      <c r="C418" s="52"/>
      <c r="D418" s="52"/>
      <c r="E418" s="52"/>
      <c r="F418" s="52"/>
      <c r="G418" s="52"/>
      <c r="H418" s="52"/>
      <c r="I418" s="52"/>
      <c r="J418" s="52"/>
      <c r="K418" s="52"/>
      <c r="L418" s="52"/>
    </row>
    <row r="419">
      <c r="A419" s="77"/>
      <c r="B419" s="77"/>
      <c r="C419" s="52"/>
      <c r="D419" s="52"/>
      <c r="E419" s="52"/>
      <c r="F419" s="52"/>
      <c r="G419" s="52"/>
      <c r="H419" s="52"/>
      <c r="I419" s="52"/>
      <c r="J419" s="52"/>
      <c r="K419" s="52"/>
      <c r="L419" s="52"/>
    </row>
    <row r="420">
      <c r="A420" s="77"/>
      <c r="B420" s="77"/>
      <c r="C420" s="52"/>
      <c r="D420" s="52"/>
      <c r="E420" s="52"/>
      <c r="F420" s="52"/>
      <c r="G420" s="52"/>
      <c r="H420" s="52"/>
      <c r="I420" s="52"/>
      <c r="J420" s="52"/>
      <c r="K420" s="52"/>
      <c r="L420" s="52"/>
    </row>
    <row r="421">
      <c r="A421" s="77"/>
      <c r="B421" s="77"/>
      <c r="C421" s="52"/>
      <c r="D421" s="52"/>
      <c r="E421" s="52"/>
      <c r="F421" s="52"/>
      <c r="G421" s="52"/>
      <c r="H421" s="52"/>
      <c r="I421" s="52"/>
      <c r="J421" s="52"/>
      <c r="K421" s="52"/>
      <c r="L421" s="52"/>
    </row>
    <row r="422">
      <c r="A422" s="77"/>
      <c r="B422" s="77"/>
      <c r="C422" s="52"/>
      <c r="D422" s="52"/>
      <c r="E422" s="52"/>
      <c r="F422" s="52"/>
      <c r="G422" s="52"/>
      <c r="H422" s="52"/>
      <c r="I422" s="52"/>
      <c r="J422" s="52"/>
      <c r="K422" s="52"/>
      <c r="L422" s="52"/>
    </row>
    <row r="423">
      <c r="A423" s="77"/>
      <c r="B423" s="77"/>
      <c r="C423" s="52"/>
      <c r="D423" s="52"/>
      <c r="E423" s="52"/>
      <c r="F423" s="52"/>
      <c r="G423" s="52"/>
      <c r="H423" s="52"/>
      <c r="I423" s="52"/>
      <c r="J423" s="52"/>
      <c r="K423" s="52"/>
      <c r="L423" s="52"/>
    </row>
    <row r="424">
      <c r="A424" s="77"/>
      <c r="B424" s="77"/>
      <c r="C424" s="52"/>
      <c r="D424" s="52"/>
      <c r="E424" s="52"/>
      <c r="F424" s="52"/>
      <c r="G424" s="52"/>
      <c r="H424" s="52"/>
      <c r="I424" s="52"/>
      <c r="J424" s="52"/>
      <c r="K424" s="52"/>
      <c r="L424" s="52"/>
    </row>
    <row r="425">
      <c r="A425" s="77"/>
      <c r="B425" s="77"/>
      <c r="C425" s="52"/>
      <c r="D425" s="52"/>
      <c r="E425" s="52"/>
      <c r="F425" s="52"/>
      <c r="G425" s="52"/>
      <c r="H425" s="52"/>
      <c r="I425" s="52"/>
      <c r="J425" s="52"/>
      <c r="K425" s="52"/>
      <c r="L425" s="52"/>
    </row>
    <row r="426">
      <c r="A426" s="77"/>
      <c r="B426" s="77"/>
      <c r="C426" s="52"/>
      <c r="D426" s="52"/>
      <c r="E426" s="52"/>
      <c r="F426" s="52"/>
      <c r="G426" s="52"/>
      <c r="H426" s="52"/>
      <c r="I426" s="52"/>
      <c r="J426" s="52"/>
      <c r="K426" s="52"/>
      <c r="L426" s="52"/>
    </row>
    <row r="427">
      <c r="A427" s="77"/>
      <c r="B427" s="77"/>
      <c r="C427" s="52"/>
      <c r="D427" s="52"/>
      <c r="E427" s="52"/>
      <c r="F427" s="52"/>
      <c r="G427" s="52"/>
      <c r="H427" s="52"/>
      <c r="I427" s="52"/>
      <c r="J427" s="52"/>
      <c r="K427" s="52"/>
      <c r="L427" s="52"/>
    </row>
    <row r="428">
      <c r="A428" s="77"/>
      <c r="B428" s="77"/>
      <c r="C428" s="52"/>
      <c r="D428" s="52"/>
      <c r="E428" s="52"/>
      <c r="F428" s="52"/>
      <c r="G428" s="52"/>
      <c r="H428" s="52"/>
      <c r="I428" s="52"/>
      <c r="J428" s="52"/>
      <c r="K428" s="52"/>
      <c r="L428" s="52"/>
    </row>
    <row r="429">
      <c r="A429" s="77"/>
      <c r="B429" s="77"/>
      <c r="C429" s="52"/>
      <c r="D429" s="52"/>
      <c r="E429" s="52"/>
      <c r="F429" s="52"/>
      <c r="G429" s="52"/>
      <c r="H429" s="52"/>
      <c r="I429" s="52"/>
      <c r="J429" s="52"/>
      <c r="K429" s="52"/>
      <c r="L429" s="52"/>
    </row>
    <row r="430">
      <c r="A430" s="77"/>
      <c r="B430" s="77"/>
      <c r="C430" s="52"/>
      <c r="D430" s="52"/>
      <c r="E430" s="52"/>
      <c r="F430" s="52"/>
      <c r="G430" s="52"/>
      <c r="H430" s="52"/>
      <c r="I430" s="52"/>
      <c r="J430" s="52"/>
      <c r="K430" s="52"/>
      <c r="L430" s="52"/>
    </row>
    <row r="431">
      <c r="A431" s="77"/>
      <c r="B431" s="77"/>
      <c r="C431" s="52"/>
      <c r="D431" s="52"/>
      <c r="E431" s="52"/>
      <c r="F431" s="52"/>
      <c r="G431" s="52"/>
      <c r="H431" s="52"/>
      <c r="I431" s="52"/>
      <c r="J431" s="52"/>
      <c r="K431" s="52"/>
      <c r="L431" s="52"/>
    </row>
    <row r="432">
      <c r="A432" s="77"/>
      <c r="B432" s="77"/>
      <c r="C432" s="52"/>
      <c r="D432" s="52"/>
      <c r="E432" s="52"/>
      <c r="F432" s="52"/>
      <c r="G432" s="52"/>
      <c r="H432" s="52"/>
      <c r="I432" s="52"/>
      <c r="J432" s="52"/>
      <c r="K432" s="52"/>
      <c r="L432" s="52"/>
    </row>
    <row r="433">
      <c r="A433" s="77"/>
      <c r="B433" s="77"/>
      <c r="C433" s="52"/>
      <c r="D433" s="52"/>
      <c r="E433" s="52"/>
      <c r="F433" s="52"/>
      <c r="G433" s="52"/>
      <c r="H433" s="52"/>
      <c r="I433" s="52"/>
      <c r="J433" s="52"/>
      <c r="K433" s="52"/>
      <c r="L433" s="52"/>
    </row>
    <row r="434">
      <c r="A434" s="77"/>
      <c r="B434" s="77"/>
      <c r="C434" s="52"/>
      <c r="D434" s="52"/>
      <c r="E434" s="52"/>
      <c r="F434" s="52"/>
      <c r="G434" s="52"/>
      <c r="H434" s="52"/>
      <c r="I434" s="52"/>
      <c r="J434" s="52"/>
      <c r="K434" s="52"/>
      <c r="L434" s="52"/>
    </row>
    <row r="435">
      <c r="A435" s="77"/>
      <c r="B435" s="77"/>
      <c r="C435" s="52"/>
      <c r="D435" s="52"/>
      <c r="E435" s="52"/>
      <c r="F435" s="52"/>
      <c r="G435" s="52"/>
      <c r="H435" s="52"/>
      <c r="I435" s="52"/>
      <c r="J435" s="52"/>
      <c r="K435" s="52"/>
      <c r="L435" s="52"/>
    </row>
    <row r="436">
      <c r="A436" s="77"/>
      <c r="B436" s="77"/>
      <c r="C436" s="52"/>
      <c r="D436" s="52"/>
      <c r="E436" s="52"/>
      <c r="F436" s="52"/>
      <c r="G436" s="52"/>
      <c r="H436" s="52"/>
      <c r="I436" s="52"/>
      <c r="J436" s="52"/>
      <c r="K436" s="52"/>
      <c r="L436" s="52"/>
    </row>
    <row r="437">
      <c r="A437" s="77"/>
      <c r="B437" s="77"/>
      <c r="C437" s="52"/>
      <c r="D437" s="52"/>
      <c r="E437" s="52"/>
      <c r="F437" s="52"/>
      <c r="G437" s="52"/>
      <c r="H437" s="52"/>
      <c r="I437" s="52"/>
      <c r="J437" s="52"/>
      <c r="K437" s="52"/>
      <c r="L437" s="52"/>
    </row>
    <row r="438">
      <c r="A438" s="77"/>
      <c r="B438" s="77"/>
      <c r="C438" s="52"/>
      <c r="D438" s="52"/>
      <c r="E438" s="52"/>
      <c r="F438" s="52"/>
      <c r="G438" s="52"/>
      <c r="H438" s="52"/>
      <c r="I438" s="52"/>
      <c r="J438" s="52"/>
      <c r="K438" s="52"/>
      <c r="L438" s="52"/>
    </row>
    <row r="439">
      <c r="A439" s="77"/>
      <c r="B439" s="77"/>
      <c r="C439" s="52"/>
      <c r="D439" s="52"/>
      <c r="E439" s="52"/>
      <c r="F439" s="52"/>
      <c r="G439" s="52"/>
      <c r="H439" s="52"/>
      <c r="I439" s="52"/>
      <c r="J439" s="52"/>
      <c r="K439" s="52"/>
      <c r="L439" s="52"/>
    </row>
    <row r="440">
      <c r="A440" s="77"/>
      <c r="B440" s="77"/>
      <c r="C440" s="52"/>
      <c r="D440" s="52"/>
      <c r="E440" s="52"/>
      <c r="F440" s="52"/>
      <c r="G440" s="52"/>
      <c r="H440" s="52"/>
      <c r="I440" s="52"/>
      <c r="J440" s="52"/>
      <c r="K440" s="52"/>
      <c r="L440" s="52"/>
    </row>
    <row r="441">
      <c r="A441" s="77"/>
      <c r="B441" s="77"/>
      <c r="C441" s="52"/>
      <c r="D441" s="52"/>
      <c r="E441" s="52"/>
      <c r="F441" s="52"/>
      <c r="G441" s="52"/>
      <c r="H441" s="52"/>
      <c r="I441" s="52"/>
      <c r="J441" s="52"/>
      <c r="K441" s="52"/>
      <c r="L441" s="52"/>
    </row>
    <row r="442">
      <c r="A442" s="77"/>
      <c r="B442" s="77"/>
      <c r="C442" s="52"/>
      <c r="D442" s="52"/>
      <c r="E442" s="52"/>
      <c r="F442" s="52"/>
      <c r="G442" s="52"/>
      <c r="H442" s="52"/>
      <c r="I442" s="52"/>
      <c r="J442" s="52"/>
      <c r="K442" s="52"/>
      <c r="L442" s="52"/>
    </row>
    <row r="443">
      <c r="A443" s="77"/>
      <c r="B443" s="77"/>
      <c r="C443" s="52"/>
      <c r="D443" s="52"/>
      <c r="E443" s="52"/>
      <c r="F443" s="52"/>
      <c r="G443" s="52"/>
      <c r="H443" s="52"/>
      <c r="I443" s="52"/>
      <c r="J443" s="52"/>
      <c r="K443" s="52"/>
      <c r="L443" s="52"/>
    </row>
    <row r="444">
      <c r="A444" s="77"/>
      <c r="B444" s="77"/>
      <c r="C444" s="52"/>
      <c r="D444" s="52"/>
      <c r="E444" s="52"/>
      <c r="F444" s="52"/>
      <c r="G444" s="52"/>
      <c r="H444" s="52"/>
      <c r="I444" s="52"/>
      <c r="J444" s="52"/>
      <c r="K444" s="52"/>
      <c r="L444" s="52"/>
    </row>
    <row r="445">
      <c r="A445" s="77"/>
      <c r="B445" s="77"/>
      <c r="C445" s="52"/>
      <c r="D445" s="52"/>
      <c r="E445" s="52"/>
      <c r="F445" s="52"/>
      <c r="G445" s="52"/>
      <c r="H445" s="52"/>
      <c r="I445" s="52"/>
      <c r="J445" s="52"/>
      <c r="K445" s="52"/>
      <c r="L445" s="52"/>
    </row>
    <row r="446">
      <c r="A446" s="77"/>
      <c r="B446" s="77"/>
      <c r="C446" s="52"/>
      <c r="D446" s="52"/>
      <c r="E446" s="52"/>
      <c r="F446" s="52"/>
      <c r="G446" s="52"/>
      <c r="H446" s="52"/>
      <c r="I446" s="52"/>
      <c r="J446" s="52"/>
      <c r="K446" s="52"/>
      <c r="L446" s="52"/>
    </row>
    <row r="447">
      <c r="A447" s="77"/>
      <c r="B447" s="77"/>
      <c r="C447" s="52"/>
      <c r="D447" s="52"/>
      <c r="E447" s="52"/>
      <c r="F447" s="52"/>
      <c r="G447" s="52"/>
      <c r="H447" s="52"/>
      <c r="I447" s="52"/>
      <c r="J447" s="52"/>
      <c r="K447" s="52"/>
      <c r="L447" s="52"/>
    </row>
    <row r="448">
      <c r="A448" s="77"/>
      <c r="B448" s="77"/>
      <c r="C448" s="52"/>
      <c r="D448" s="52"/>
      <c r="E448" s="52"/>
      <c r="F448" s="52"/>
      <c r="G448" s="52"/>
      <c r="H448" s="52"/>
      <c r="I448" s="52"/>
      <c r="J448" s="52"/>
      <c r="K448" s="52"/>
      <c r="L448" s="52"/>
    </row>
    <row r="449">
      <c r="A449" s="77"/>
      <c r="B449" s="77"/>
      <c r="C449" s="52"/>
      <c r="D449" s="52"/>
      <c r="E449" s="52"/>
      <c r="F449" s="52"/>
      <c r="G449" s="52"/>
      <c r="H449" s="52"/>
      <c r="I449" s="52"/>
      <c r="J449" s="52"/>
      <c r="K449" s="52"/>
      <c r="L449" s="52"/>
    </row>
    <row r="450">
      <c r="A450" s="77"/>
      <c r="B450" s="77"/>
      <c r="C450" s="52"/>
      <c r="D450" s="52"/>
      <c r="E450" s="52"/>
      <c r="F450" s="52"/>
      <c r="G450" s="52"/>
      <c r="H450" s="52"/>
      <c r="I450" s="52"/>
      <c r="J450" s="52"/>
      <c r="K450" s="52"/>
      <c r="L450" s="52"/>
    </row>
    <row r="451">
      <c r="A451" s="77"/>
      <c r="B451" s="77"/>
      <c r="C451" s="52"/>
      <c r="D451" s="52"/>
      <c r="E451" s="52"/>
      <c r="F451" s="52"/>
      <c r="G451" s="52"/>
      <c r="H451" s="52"/>
      <c r="I451" s="52"/>
      <c r="J451" s="52"/>
      <c r="K451" s="52"/>
      <c r="L451" s="52"/>
    </row>
    <row r="452">
      <c r="A452" s="77"/>
      <c r="B452" s="77"/>
      <c r="C452" s="52"/>
      <c r="D452" s="52"/>
      <c r="E452" s="52"/>
      <c r="F452" s="52"/>
      <c r="G452" s="52"/>
      <c r="H452" s="52"/>
      <c r="I452" s="52"/>
      <c r="J452" s="52"/>
      <c r="K452" s="52"/>
      <c r="L452" s="52"/>
    </row>
    <row r="453">
      <c r="A453" s="77"/>
      <c r="B453" s="77"/>
      <c r="C453" s="52"/>
      <c r="D453" s="52"/>
      <c r="E453" s="52"/>
      <c r="F453" s="52"/>
      <c r="G453" s="52"/>
      <c r="H453" s="52"/>
      <c r="I453" s="52"/>
      <c r="J453" s="52"/>
      <c r="K453" s="52"/>
      <c r="L453" s="52"/>
    </row>
    <row r="454">
      <c r="A454" s="77"/>
      <c r="B454" s="77"/>
      <c r="C454" s="52"/>
      <c r="D454" s="52"/>
      <c r="E454" s="52"/>
      <c r="F454" s="52"/>
      <c r="G454" s="52"/>
      <c r="H454" s="52"/>
      <c r="I454" s="52"/>
      <c r="J454" s="52"/>
      <c r="K454" s="52"/>
      <c r="L454" s="52"/>
    </row>
    <row r="455">
      <c r="A455" s="77"/>
      <c r="B455" s="77"/>
      <c r="C455" s="52"/>
      <c r="D455" s="52"/>
      <c r="E455" s="52"/>
      <c r="F455" s="52"/>
      <c r="G455" s="52"/>
      <c r="H455" s="52"/>
      <c r="I455" s="52"/>
      <c r="J455" s="52"/>
      <c r="K455" s="52"/>
      <c r="L455" s="52"/>
    </row>
    <row r="456">
      <c r="A456" s="77"/>
      <c r="B456" s="77"/>
      <c r="C456" s="52"/>
      <c r="D456" s="52"/>
      <c r="E456" s="52"/>
      <c r="F456" s="52"/>
      <c r="G456" s="52"/>
      <c r="H456" s="52"/>
      <c r="I456" s="52"/>
      <c r="J456" s="52"/>
      <c r="K456" s="52"/>
      <c r="L456" s="52"/>
    </row>
    <row r="457">
      <c r="A457" s="77"/>
      <c r="B457" s="77"/>
      <c r="C457" s="52"/>
      <c r="D457" s="52"/>
      <c r="E457" s="52"/>
      <c r="F457" s="52"/>
      <c r="G457" s="52"/>
      <c r="H457" s="52"/>
      <c r="I457" s="52"/>
      <c r="J457" s="52"/>
      <c r="K457" s="52"/>
      <c r="L457" s="52"/>
    </row>
    <row r="458">
      <c r="A458" s="77"/>
      <c r="B458" s="77"/>
      <c r="C458" s="52"/>
      <c r="D458" s="52"/>
      <c r="E458" s="52"/>
      <c r="F458" s="52"/>
      <c r="G458" s="52"/>
      <c r="H458" s="52"/>
      <c r="I458" s="52"/>
      <c r="J458" s="52"/>
      <c r="K458" s="52"/>
      <c r="L458" s="52"/>
    </row>
    <row r="459">
      <c r="A459" s="77"/>
      <c r="B459" s="77"/>
      <c r="C459" s="52"/>
      <c r="D459" s="52"/>
      <c r="E459" s="52"/>
      <c r="F459" s="52"/>
      <c r="G459" s="52"/>
      <c r="H459" s="52"/>
      <c r="I459" s="52"/>
      <c r="J459" s="52"/>
      <c r="K459" s="52"/>
      <c r="L459" s="52"/>
    </row>
    <row r="460">
      <c r="A460" s="77"/>
      <c r="B460" s="77"/>
      <c r="C460" s="52"/>
      <c r="D460" s="52"/>
      <c r="E460" s="52"/>
      <c r="F460" s="52"/>
      <c r="G460" s="52"/>
      <c r="H460" s="52"/>
      <c r="I460" s="52"/>
      <c r="J460" s="52"/>
      <c r="K460" s="52"/>
      <c r="L460" s="52"/>
    </row>
    <row r="461">
      <c r="A461" s="77"/>
      <c r="B461" s="77"/>
      <c r="C461" s="52"/>
      <c r="D461" s="52"/>
      <c r="E461" s="52"/>
      <c r="F461" s="52"/>
      <c r="G461" s="52"/>
      <c r="H461" s="52"/>
      <c r="I461" s="52"/>
      <c r="J461" s="52"/>
      <c r="K461" s="52"/>
      <c r="L461" s="52"/>
    </row>
    <row r="462">
      <c r="A462" s="77"/>
      <c r="B462" s="77"/>
      <c r="C462" s="52"/>
      <c r="D462" s="52"/>
      <c r="E462" s="52"/>
      <c r="F462" s="52"/>
      <c r="G462" s="52"/>
      <c r="H462" s="52"/>
      <c r="I462" s="52"/>
      <c r="J462" s="52"/>
      <c r="K462" s="52"/>
      <c r="L462" s="52"/>
    </row>
    <row r="463">
      <c r="A463" s="77"/>
      <c r="B463" s="77"/>
      <c r="C463" s="52"/>
      <c r="D463" s="52"/>
      <c r="E463" s="52"/>
      <c r="F463" s="52"/>
      <c r="G463" s="52"/>
      <c r="H463" s="52"/>
      <c r="I463" s="52"/>
      <c r="J463" s="52"/>
      <c r="K463" s="52"/>
      <c r="L463" s="52"/>
    </row>
    <row r="464">
      <c r="A464" s="77"/>
      <c r="B464" s="77"/>
      <c r="C464" s="52"/>
      <c r="D464" s="52"/>
      <c r="E464" s="52"/>
      <c r="F464" s="52"/>
      <c r="G464" s="52"/>
      <c r="H464" s="52"/>
      <c r="I464" s="52"/>
      <c r="J464" s="52"/>
      <c r="K464" s="52"/>
      <c r="L464" s="52"/>
    </row>
    <row r="465">
      <c r="A465" s="77"/>
      <c r="B465" s="77"/>
      <c r="C465" s="52"/>
      <c r="D465" s="52"/>
      <c r="E465" s="52"/>
      <c r="F465" s="52"/>
      <c r="G465" s="52"/>
      <c r="H465" s="52"/>
      <c r="I465" s="52"/>
      <c r="J465" s="52"/>
      <c r="K465" s="52"/>
      <c r="L465" s="52"/>
    </row>
    <row r="466">
      <c r="A466" s="77"/>
      <c r="B466" s="77"/>
      <c r="C466" s="52"/>
      <c r="D466" s="52"/>
      <c r="E466" s="52"/>
      <c r="F466" s="52"/>
      <c r="G466" s="52"/>
      <c r="H466" s="52"/>
      <c r="I466" s="52"/>
      <c r="J466" s="52"/>
      <c r="K466" s="52"/>
      <c r="L466" s="52"/>
    </row>
    <row r="467">
      <c r="A467" s="77"/>
      <c r="B467" s="77"/>
      <c r="C467" s="52"/>
      <c r="D467" s="52"/>
      <c r="E467" s="52"/>
      <c r="F467" s="52"/>
      <c r="G467" s="52"/>
      <c r="H467" s="52"/>
      <c r="I467" s="52"/>
      <c r="J467" s="52"/>
      <c r="K467" s="52"/>
      <c r="L467" s="52"/>
    </row>
    <row r="468">
      <c r="A468" s="77"/>
      <c r="B468" s="77"/>
      <c r="C468" s="52"/>
      <c r="D468" s="52"/>
      <c r="E468" s="52"/>
      <c r="F468" s="52"/>
      <c r="G468" s="52"/>
      <c r="H468" s="52"/>
      <c r="I468" s="52"/>
      <c r="J468" s="52"/>
      <c r="K468" s="52"/>
      <c r="L468" s="52"/>
    </row>
    <row r="469">
      <c r="A469" s="77"/>
      <c r="B469" s="77"/>
      <c r="C469" s="52"/>
      <c r="D469" s="52"/>
      <c r="E469" s="52"/>
      <c r="F469" s="52"/>
      <c r="G469" s="52"/>
      <c r="H469" s="52"/>
      <c r="I469" s="52"/>
      <c r="J469" s="52"/>
      <c r="K469" s="52"/>
      <c r="L469" s="52"/>
    </row>
    <row r="470">
      <c r="A470" s="77"/>
      <c r="B470" s="77"/>
      <c r="C470" s="52"/>
      <c r="D470" s="52"/>
      <c r="E470" s="52"/>
      <c r="F470" s="52"/>
      <c r="G470" s="52"/>
      <c r="H470" s="52"/>
      <c r="I470" s="52"/>
      <c r="J470" s="52"/>
      <c r="K470" s="52"/>
      <c r="L470" s="52"/>
    </row>
    <row r="471">
      <c r="A471" s="77"/>
      <c r="B471" s="77"/>
      <c r="C471" s="52"/>
      <c r="D471" s="52"/>
      <c r="E471" s="52"/>
      <c r="F471" s="52"/>
      <c r="G471" s="52"/>
      <c r="H471" s="52"/>
      <c r="I471" s="52"/>
      <c r="J471" s="52"/>
      <c r="K471" s="52"/>
      <c r="L471" s="52"/>
    </row>
    <row r="472">
      <c r="A472" s="77"/>
      <c r="B472" s="77"/>
      <c r="C472" s="52"/>
      <c r="D472" s="52"/>
      <c r="E472" s="52"/>
      <c r="F472" s="52"/>
      <c r="G472" s="52"/>
      <c r="H472" s="52"/>
      <c r="I472" s="52"/>
      <c r="J472" s="52"/>
      <c r="K472" s="52"/>
      <c r="L472" s="52"/>
    </row>
    <row r="473">
      <c r="A473" s="77"/>
      <c r="B473" s="77"/>
      <c r="C473" s="52"/>
      <c r="D473" s="52"/>
      <c r="E473" s="52"/>
      <c r="F473" s="52"/>
      <c r="G473" s="52"/>
      <c r="H473" s="52"/>
      <c r="I473" s="52"/>
      <c r="J473" s="52"/>
      <c r="K473" s="52"/>
      <c r="L473" s="52"/>
    </row>
    <row r="474">
      <c r="A474" s="77"/>
      <c r="B474" s="77"/>
      <c r="C474" s="52"/>
      <c r="D474" s="52"/>
      <c r="E474" s="52"/>
      <c r="F474" s="52"/>
      <c r="G474" s="52"/>
      <c r="H474" s="52"/>
      <c r="I474" s="52"/>
      <c r="J474" s="52"/>
      <c r="K474" s="52"/>
      <c r="L474" s="52"/>
    </row>
    <row r="475">
      <c r="A475" s="77"/>
      <c r="B475" s="77"/>
      <c r="C475" s="52"/>
      <c r="D475" s="52"/>
      <c r="E475" s="52"/>
      <c r="F475" s="52"/>
      <c r="G475" s="52"/>
      <c r="H475" s="52"/>
      <c r="I475" s="52"/>
      <c r="J475" s="52"/>
      <c r="K475" s="52"/>
      <c r="L475" s="52"/>
    </row>
    <row r="476">
      <c r="A476" s="77"/>
      <c r="B476" s="77"/>
      <c r="C476" s="52"/>
      <c r="D476" s="52"/>
      <c r="E476" s="52"/>
      <c r="F476" s="52"/>
      <c r="G476" s="52"/>
      <c r="H476" s="52"/>
      <c r="I476" s="52"/>
      <c r="J476" s="52"/>
      <c r="K476" s="52"/>
      <c r="L476" s="52"/>
    </row>
    <row r="477">
      <c r="A477" s="77"/>
      <c r="B477" s="77"/>
      <c r="C477" s="52"/>
      <c r="D477" s="52"/>
      <c r="E477" s="52"/>
      <c r="F477" s="52"/>
      <c r="G477" s="52"/>
      <c r="H477" s="52"/>
      <c r="I477" s="52"/>
      <c r="J477" s="52"/>
      <c r="K477" s="52"/>
      <c r="L477" s="52"/>
    </row>
    <row r="478">
      <c r="A478" s="77"/>
      <c r="B478" s="77"/>
      <c r="C478" s="52"/>
      <c r="D478" s="52"/>
      <c r="E478" s="52"/>
      <c r="F478" s="52"/>
      <c r="G478" s="52"/>
      <c r="H478" s="52"/>
      <c r="I478" s="52"/>
      <c r="J478" s="52"/>
      <c r="K478" s="52"/>
      <c r="L478" s="52"/>
    </row>
    <row r="479">
      <c r="A479" s="77"/>
      <c r="B479" s="77"/>
      <c r="C479" s="52"/>
      <c r="D479" s="52"/>
      <c r="E479" s="52"/>
      <c r="F479" s="52"/>
      <c r="G479" s="52"/>
      <c r="H479" s="52"/>
      <c r="I479" s="52"/>
      <c r="J479" s="52"/>
      <c r="K479" s="52"/>
      <c r="L479" s="52"/>
    </row>
    <row r="480">
      <c r="A480" s="77"/>
      <c r="B480" s="77"/>
      <c r="C480" s="52"/>
      <c r="D480" s="52"/>
      <c r="E480" s="52"/>
      <c r="F480" s="52"/>
      <c r="G480" s="52"/>
      <c r="H480" s="52"/>
      <c r="I480" s="52"/>
      <c r="J480" s="52"/>
      <c r="K480" s="52"/>
      <c r="L480" s="52"/>
    </row>
    <row r="481">
      <c r="A481" s="77"/>
      <c r="B481" s="77"/>
      <c r="C481" s="52"/>
      <c r="D481" s="52"/>
      <c r="E481" s="52"/>
      <c r="F481" s="52"/>
      <c r="G481" s="52"/>
      <c r="H481" s="52"/>
      <c r="I481" s="52"/>
      <c r="J481" s="52"/>
      <c r="K481" s="52"/>
      <c r="L481" s="52"/>
    </row>
    <row r="482">
      <c r="A482" s="77"/>
      <c r="B482" s="77"/>
      <c r="C482" s="52"/>
      <c r="D482" s="52"/>
      <c r="E482" s="52"/>
      <c r="F482" s="52"/>
      <c r="G482" s="52"/>
      <c r="H482" s="52"/>
      <c r="I482" s="52"/>
      <c r="J482" s="52"/>
      <c r="K482" s="52"/>
      <c r="L482" s="52"/>
    </row>
    <row r="483">
      <c r="A483" s="77"/>
      <c r="B483" s="77"/>
      <c r="C483" s="52"/>
      <c r="D483" s="52"/>
      <c r="E483" s="52"/>
      <c r="F483" s="52"/>
      <c r="G483" s="52"/>
      <c r="H483" s="52"/>
      <c r="I483" s="52"/>
      <c r="J483" s="52"/>
      <c r="K483" s="52"/>
      <c r="L483" s="52"/>
    </row>
    <row r="484">
      <c r="A484" s="77"/>
      <c r="B484" s="77"/>
      <c r="C484" s="52"/>
      <c r="D484" s="52"/>
      <c r="E484" s="52"/>
      <c r="F484" s="52"/>
      <c r="G484" s="52"/>
      <c r="H484" s="52"/>
      <c r="I484" s="52"/>
      <c r="J484" s="52"/>
      <c r="K484" s="52"/>
      <c r="L484" s="52"/>
    </row>
    <row r="485">
      <c r="A485" s="77"/>
      <c r="B485" s="77"/>
      <c r="C485" s="52"/>
      <c r="D485" s="52"/>
      <c r="E485" s="52"/>
      <c r="F485" s="52"/>
      <c r="G485" s="52"/>
      <c r="H485" s="52"/>
      <c r="I485" s="52"/>
      <c r="J485" s="52"/>
      <c r="K485" s="52"/>
      <c r="L485" s="52"/>
    </row>
    <row r="486">
      <c r="A486" s="77"/>
      <c r="B486" s="77"/>
      <c r="C486" s="52"/>
      <c r="D486" s="52"/>
      <c r="E486" s="52"/>
      <c r="F486" s="52"/>
      <c r="G486" s="52"/>
      <c r="H486" s="52"/>
      <c r="I486" s="52"/>
      <c r="J486" s="52"/>
      <c r="K486" s="52"/>
      <c r="L486" s="52"/>
    </row>
    <row r="487">
      <c r="A487" s="77"/>
      <c r="B487" s="77"/>
      <c r="C487" s="52"/>
      <c r="D487" s="52"/>
      <c r="E487" s="52"/>
      <c r="F487" s="52"/>
      <c r="G487" s="52"/>
      <c r="H487" s="52"/>
      <c r="I487" s="52"/>
      <c r="J487" s="52"/>
      <c r="K487" s="52"/>
      <c r="L487" s="52"/>
    </row>
    <row r="488">
      <c r="A488" s="77"/>
      <c r="B488" s="77"/>
      <c r="C488" s="52"/>
      <c r="D488" s="52"/>
      <c r="E488" s="52"/>
      <c r="F488" s="52"/>
      <c r="G488" s="52"/>
      <c r="H488" s="52"/>
      <c r="I488" s="52"/>
      <c r="J488" s="52"/>
      <c r="K488" s="52"/>
      <c r="L488" s="52"/>
    </row>
    <row r="489">
      <c r="A489" s="77"/>
      <c r="B489" s="77"/>
      <c r="C489" s="52"/>
      <c r="D489" s="52"/>
      <c r="E489" s="52"/>
      <c r="F489" s="52"/>
      <c r="G489" s="52"/>
      <c r="H489" s="52"/>
      <c r="I489" s="52"/>
      <c r="J489" s="52"/>
      <c r="K489" s="52"/>
      <c r="L489" s="52"/>
    </row>
    <row r="490">
      <c r="A490" s="77"/>
      <c r="B490" s="77"/>
      <c r="C490" s="52"/>
      <c r="D490" s="52"/>
      <c r="E490" s="52"/>
      <c r="F490" s="52"/>
      <c r="G490" s="52"/>
      <c r="H490" s="52"/>
      <c r="I490" s="52"/>
      <c r="J490" s="52"/>
      <c r="K490" s="52"/>
      <c r="L490" s="52"/>
    </row>
    <row r="491">
      <c r="A491" s="77"/>
      <c r="B491" s="77"/>
      <c r="C491" s="52"/>
      <c r="D491" s="52"/>
      <c r="E491" s="52"/>
      <c r="F491" s="52"/>
      <c r="G491" s="52"/>
      <c r="H491" s="52"/>
      <c r="I491" s="52"/>
      <c r="J491" s="52"/>
      <c r="K491" s="52"/>
      <c r="L491" s="52"/>
    </row>
    <row r="492">
      <c r="A492" s="77"/>
      <c r="B492" s="77"/>
      <c r="C492" s="52"/>
      <c r="D492" s="52"/>
      <c r="E492" s="52"/>
      <c r="F492" s="52"/>
      <c r="G492" s="52"/>
      <c r="H492" s="52"/>
      <c r="I492" s="52"/>
      <c r="J492" s="52"/>
      <c r="K492" s="52"/>
      <c r="L492" s="52"/>
    </row>
    <row r="493">
      <c r="A493" s="77"/>
      <c r="B493" s="77"/>
      <c r="C493" s="52"/>
      <c r="D493" s="52"/>
      <c r="E493" s="52"/>
      <c r="F493" s="52"/>
      <c r="G493" s="52"/>
      <c r="H493" s="52"/>
      <c r="I493" s="52"/>
      <c r="J493" s="52"/>
      <c r="K493" s="52"/>
      <c r="L493" s="52"/>
    </row>
    <row r="494">
      <c r="A494" s="77"/>
      <c r="B494" s="77"/>
      <c r="C494" s="52"/>
      <c r="D494" s="52"/>
      <c r="E494" s="52"/>
      <c r="F494" s="52"/>
      <c r="G494" s="52"/>
      <c r="H494" s="52"/>
      <c r="I494" s="52"/>
      <c r="J494" s="52"/>
      <c r="K494" s="52"/>
      <c r="L494" s="52"/>
    </row>
    <row r="495">
      <c r="A495" s="77"/>
      <c r="B495" s="77"/>
      <c r="C495" s="52"/>
      <c r="D495" s="52"/>
      <c r="E495" s="52"/>
      <c r="F495" s="52"/>
      <c r="G495" s="52"/>
      <c r="H495" s="52"/>
      <c r="I495" s="52"/>
      <c r="J495" s="52"/>
      <c r="K495" s="52"/>
      <c r="L495" s="52"/>
    </row>
    <row r="496">
      <c r="A496" s="77"/>
      <c r="B496" s="77"/>
      <c r="C496" s="52"/>
      <c r="D496" s="52"/>
      <c r="E496" s="52"/>
      <c r="F496" s="52"/>
      <c r="G496" s="52"/>
      <c r="H496" s="52"/>
      <c r="I496" s="52"/>
      <c r="J496" s="52"/>
      <c r="K496" s="52"/>
      <c r="L496" s="52"/>
    </row>
    <row r="497">
      <c r="A497" s="77"/>
      <c r="B497" s="77"/>
      <c r="C497" s="52"/>
      <c r="D497" s="52"/>
      <c r="E497" s="52"/>
      <c r="F497" s="52"/>
      <c r="G497" s="52"/>
      <c r="H497" s="52"/>
      <c r="I497" s="52"/>
      <c r="J497" s="52"/>
      <c r="K497" s="52"/>
      <c r="L497" s="52"/>
    </row>
    <row r="498">
      <c r="A498" s="77"/>
      <c r="B498" s="77"/>
      <c r="C498" s="52"/>
      <c r="D498" s="52"/>
      <c r="E498" s="52"/>
      <c r="F498" s="52"/>
      <c r="G498" s="52"/>
      <c r="H498" s="52"/>
      <c r="I498" s="52"/>
      <c r="J498" s="52"/>
      <c r="K498" s="52"/>
      <c r="L498" s="52"/>
    </row>
    <row r="499">
      <c r="A499" s="77"/>
      <c r="B499" s="77"/>
      <c r="C499" s="52"/>
      <c r="D499" s="52"/>
      <c r="E499" s="52"/>
      <c r="F499" s="52"/>
      <c r="G499" s="52"/>
      <c r="H499" s="52"/>
      <c r="I499" s="52"/>
      <c r="J499" s="52"/>
      <c r="K499" s="52"/>
      <c r="L499" s="52"/>
    </row>
    <row r="500">
      <c r="A500" s="77"/>
      <c r="B500" s="77"/>
      <c r="C500" s="52"/>
      <c r="D500" s="52"/>
      <c r="E500" s="52"/>
      <c r="F500" s="52"/>
      <c r="G500" s="52"/>
      <c r="H500" s="52"/>
      <c r="I500" s="52"/>
      <c r="J500" s="52"/>
      <c r="K500" s="52"/>
      <c r="L500" s="52"/>
    </row>
    <row r="501">
      <c r="A501" s="77"/>
      <c r="B501" s="77"/>
      <c r="C501" s="52"/>
      <c r="D501" s="52"/>
      <c r="E501" s="52"/>
      <c r="F501" s="52"/>
      <c r="G501" s="52"/>
      <c r="H501" s="52"/>
      <c r="I501" s="52"/>
      <c r="J501" s="52"/>
      <c r="K501" s="52"/>
      <c r="L501" s="52"/>
    </row>
    <row r="502">
      <c r="A502" s="77"/>
      <c r="B502" s="77"/>
      <c r="C502" s="52"/>
      <c r="D502" s="52"/>
      <c r="E502" s="52"/>
      <c r="F502" s="52"/>
      <c r="G502" s="52"/>
      <c r="H502" s="52"/>
      <c r="I502" s="52"/>
      <c r="J502" s="52"/>
      <c r="K502" s="52"/>
      <c r="L502" s="52"/>
    </row>
    <row r="503">
      <c r="A503" s="77"/>
      <c r="B503" s="77"/>
      <c r="C503" s="52"/>
      <c r="D503" s="52"/>
      <c r="E503" s="52"/>
      <c r="F503" s="52"/>
      <c r="G503" s="52"/>
      <c r="H503" s="52"/>
      <c r="I503" s="52"/>
      <c r="J503" s="52"/>
      <c r="K503" s="52"/>
      <c r="L503" s="52"/>
    </row>
    <row r="504">
      <c r="A504" s="77"/>
      <c r="B504" s="77"/>
      <c r="C504" s="52"/>
      <c r="D504" s="52"/>
      <c r="E504" s="52"/>
      <c r="F504" s="52"/>
      <c r="G504" s="52"/>
      <c r="H504" s="52"/>
      <c r="I504" s="52"/>
      <c r="J504" s="52"/>
      <c r="K504" s="52"/>
      <c r="L504" s="52"/>
    </row>
    <row r="505">
      <c r="A505" s="77"/>
      <c r="B505" s="77"/>
      <c r="C505" s="52"/>
      <c r="D505" s="52"/>
      <c r="E505" s="52"/>
      <c r="F505" s="52"/>
      <c r="G505" s="52"/>
      <c r="H505" s="52"/>
      <c r="I505" s="52"/>
      <c r="J505" s="52"/>
      <c r="K505" s="52"/>
      <c r="L505" s="52"/>
    </row>
    <row r="506">
      <c r="A506" s="77"/>
      <c r="B506" s="77"/>
      <c r="C506" s="52"/>
      <c r="D506" s="52"/>
      <c r="E506" s="52"/>
      <c r="F506" s="52"/>
      <c r="G506" s="52"/>
      <c r="H506" s="52"/>
      <c r="I506" s="52"/>
      <c r="J506" s="52"/>
      <c r="K506" s="52"/>
      <c r="L506" s="52"/>
    </row>
    <row r="507">
      <c r="A507" s="77"/>
      <c r="B507" s="77"/>
      <c r="C507" s="52"/>
      <c r="D507" s="52"/>
      <c r="E507" s="52"/>
      <c r="F507" s="52"/>
      <c r="G507" s="52"/>
      <c r="H507" s="52"/>
      <c r="I507" s="52"/>
      <c r="J507" s="52"/>
      <c r="K507" s="52"/>
      <c r="L507" s="52"/>
    </row>
    <row r="508">
      <c r="A508" s="77"/>
      <c r="B508" s="77"/>
      <c r="C508" s="52"/>
      <c r="D508" s="52"/>
      <c r="E508" s="52"/>
      <c r="F508" s="52"/>
      <c r="G508" s="52"/>
      <c r="H508" s="52"/>
      <c r="I508" s="52"/>
      <c r="J508" s="52"/>
      <c r="K508" s="52"/>
      <c r="L508" s="52"/>
    </row>
    <row r="509">
      <c r="A509" s="77"/>
      <c r="B509" s="77"/>
      <c r="C509" s="52"/>
      <c r="D509" s="52"/>
      <c r="E509" s="52"/>
      <c r="F509" s="52"/>
      <c r="G509" s="52"/>
      <c r="H509" s="52"/>
      <c r="I509" s="52"/>
      <c r="J509" s="52"/>
      <c r="K509" s="52"/>
      <c r="L509" s="52"/>
    </row>
    <row r="510">
      <c r="A510" s="77"/>
      <c r="B510" s="77"/>
      <c r="C510" s="52"/>
      <c r="D510" s="52"/>
      <c r="E510" s="52"/>
      <c r="F510" s="52"/>
      <c r="G510" s="52"/>
      <c r="H510" s="52"/>
      <c r="I510" s="52"/>
      <c r="J510" s="52"/>
      <c r="K510" s="52"/>
      <c r="L510" s="52"/>
    </row>
    <row r="511">
      <c r="A511" s="77"/>
      <c r="B511" s="77"/>
      <c r="C511" s="52"/>
      <c r="D511" s="52"/>
      <c r="E511" s="52"/>
      <c r="F511" s="52"/>
      <c r="G511" s="52"/>
      <c r="H511" s="52"/>
      <c r="I511" s="52"/>
      <c r="J511" s="52"/>
      <c r="K511" s="52"/>
      <c r="L511" s="52"/>
    </row>
    <row r="512">
      <c r="A512" s="77"/>
      <c r="B512" s="77"/>
      <c r="C512" s="52"/>
      <c r="D512" s="52"/>
      <c r="E512" s="52"/>
      <c r="F512" s="52"/>
      <c r="G512" s="52"/>
      <c r="H512" s="52"/>
      <c r="I512" s="52"/>
      <c r="J512" s="52"/>
      <c r="K512" s="52"/>
      <c r="L512" s="52"/>
    </row>
    <row r="513">
      <c r="A513" s="77"/>
      <c r="B513" s="77"/>
      <c r="C513" s="52"/>
      <c r="D513" s="52"/>
      <c r="E513" s="52"/>
      <c r="F513" s="52"/>
      <c r="G513" s="52"/>
      <c r="H513" s="52"/>
      <c r="I513" s="52"/>
      <c r="J513" s="52"/>
      <c r="K513" s="52"/>
      <c r="L513" s="52"/>
    </row>
    <row r="514">
      <c r="A514" s="77"/>
      <c r="B514" s="77"/>
      <c r="C514" s="52"/>
      <c r="D514" s="52"/>
      <c r="E514" s="52"/>
      <c r="F514" s="52"/>
      <c r="G514" s="52"/>
      <c r="H514" s="52"/>
      <c r="I514" s="52"/>
      <c r="J514" s="52"/>
      <c r="K514" s="52"/>
      <c r="L514" s="52"/>
    </row>
    <row r="515">
      <c r="A515" s="77"/>
      <c r="B515" s="77"/>
      <c r="C515" s="52"/>
      <c r="D515" s="52"/>
      <c r="E515" s="52"/>
      <c r="F515" s="52"/>
      <c r="G515" s="52"/>
      <c r="H515" s="52"/>
      <c r="I515" s="52"/>
      <c r="J515" s="52"/>
      <c r="K515" s="52"/>
      <c r="L515" s="52"/>
    </row>
    <row r="516">
      <c r="A516" s="77"/>
      <c r="B516" s="77"/>
      <c r="C516" s="52"/>
      <c r="D516" s="52"/>
      <c r="E516" s="52"/>
      <c r="F516" s="52"/>
      <c r="G516" s="52"/>
      <c r="H516" s="52"/>
      <c r="I516" s="52"/>
      <c r="J516" s="52"/>
      <c r="K516" s="52"/>
      <c r="L516" s="52"/>
    </row>
    <row r="517">
      <c r="A517" s="77"/>
      <c r="B517" s="77"/>
      <c r="C517" s="52"/>
      <c r="D517" s="52"/>
      <c r="E517" s="52"/>
      <c r="F517" s="52"/>
      <c r="G517" s="52"/>
      <c r="H517" s="52"/>
      <c r="I517" s="52"/>
      <c r="J517" s="52"/>
      <c r="K517" s="52"/>
      <c r="L517" s="52"/>
    </row>
    <row r="518">
      <c r="A518" s="77"/>
      <c r="B518" s="77"/>
      <c r="C518" s="52"/>
      <c r="D518" s="52"/>
      <c r="E518" s="52"/>
      <c r="F518" s="52"/>
      <c r="G518" s="52"/>
      <c r="H518" s="52"/>
      <c r="I518" s="52"/>
      <c r="J518" s="52"/>
      <c r="K518" s="52"/>
      <c r="L518" s="52"/>
    </row>
    <row r="519">
      <c r="A519" s="77"/>
      <c r="B519" s="77"/>
      <c r="C519" s="52"/>
      <c r="D519" s="52"/>
      <c r="E519" s="52"/>
      <c r="F519" s="52"/>
      <c r="G519" s="52"/>
      <c r="H519" s="52"/>
      <c r="I519" s="52"/>
      <c r="J519" s="52"/>
      <c r="K519" s="52"/>
      <c r="L519" s="52"/>
    </row>
    <row r="520">
      <c r="A520" s="77"/>
      <c r="B520" s="77"/>
      <c r="C520" s="52"/>
      <c r="D520" s="52"/>
      <c r="E520" s="52"/>
      <c r="F520" s="52"/>
      <c r="G520" s="52"/>
      <c r="H520" s="52"/>
      <c r="I520" s="52"/>
      <c r="J520" s="52"/>
      <c r="K520" s="52"/>
      <c r="L520" s="52"/>
    </row>
    <row r="521">
      <c r="A521" s="77"/>
      <c r="B521" s="77"/>
      <c r="C521" s="52"/>
      <c r="D521" s="52"/>
      <c r="E521" s="52"/>
      <c r="F521" s="52"/>
      <c r="G521" s="52"/>
      <c r="H521" s="52"/>
      <c r="I521" s="52"/>
      <c r="J521" s="52"/>
      <c r="K521" s="52"/>
      <c r="L521" s="52"/>
    </row>
    <row r="522">
      <c r="A522" s="77"/>
      <c r="B522" s="77"/>
      <c r="C522" s="52"/>
      <c r="D522" s="52"/>
      <c r="E522" s="52"/>
      <c r="F522" s="52"/>
      <c r="G522" s="52"/>
      <c r="H522" s="52"/>
      <c r="I522" s="52"/>
      <c r="J522" s="52"/>
      <c r="K522" s="52"/>
      <c r="L522" s="52"/>
    </row>
    <row r="523">
      <c r="A523" s="77"/>
      <c r="B523" s="77"/>
      <c r="C523" s="52"/>
      <c r="D523" s="52"/>
      <c r="E523" s="52"/>
      <c r="F523" s="52"/>
      <c r="G523" s="52"/>
      <c r="H523" s="52"/>
      <c r="I523" s="52"/>
      <c r="J523" s="52"/>
      <c r="K523" s="52"/>
      <c r="L523" s="52"/>
    </row>
    <row r="524">
      <c r="A524" s="77"/>
      <c r="B524" s="77"/>
      <c r="C524" s="52"/>
      <c r="D524" s="52"/>
      <c r="E524" s="52"/>
      <c r="F524" s="52"/>
      <c r="G524" s="52"/>
      <c r="H524" s="52"/>
      <c r="I524" s="52"/>
      <c r="J524" s="52"/>
      <c r="K524" s="52"/>
      <c r="L524" s="52"/>
    </row>
    <row r="525">
      <c r="A525" s="77"/>
      <c r="B525" s="77"/>
      <c r="C525" s="52"/>
      <c r="D525" s="52"/>
      <c r="E525" s="52"/>
      <c r="F525" s="52"/>
      <c r="G525" s="52"/>
      <c r="H525" s="52"/>
      <c r="I525" s="52"/>
      <c r="J525" s="52"/>
      <c r="K525" s="52"/>
      <c r="L525" s="52"/>
    </row>
    <row r="526">
      <c r="A526" s="77"/>
      <c r="B526" s="77"/>
      <c r="C526" s="52"/>
      <c r="D526" s="52"/>
      <c r="E526" s="52"/>
      <c r="F526" s="52"/>
      <c r="G526" s="52"/>
      <c r="H526" s="52"/>
      <c r="I526" s="52"/>
      <c r="J526" s="52"/>
      <c r="K526" s="52"/>
      <c r="L526" s="52"/>
    </row>
    <row r="527">
      <c r="A527" s="77"/>
      <c r="B527" s="77"/>
      <c r="C527" s="52"/>
      <c r="D527" s="52"/>
      <c r="E527" s="52"/>
      <c r="F527" s="52"/>
      <c r="G527" s="52"/>
      <c r="H527" s="52"/>
      <c r="I527" s="52"/>
      <c r="J527" s="52"/>
      <c r="K527" s="52"/>
      <c r="L527" s="52"/>
    </row>
    <row r="528">
      <c r="A528" s="77"/>
      <c r="B528" s="77"/>
      <c r="C528" s="52"/>
      <c r="D528" s="52"/>
      <c r="E528" s="52"/>
      <c r="F528" s="52"/>
      <c r="G528" s="52"/>
      <c r="H528" s="52"/>
      <c r="I528" s="52"/>
      <c r="J528" s="52"/>
      <c r="K528" s="52"/>
      <c r="L528" s="52"/>
    </row>
    <row r="529">
      <c r="A529" s="77"/>
      <c r="B529" s="77"/>
      <c r="C529" s="52"/>
      <c r="D529" s="52"/>
      <c r="E529" s="52"/>
      <c r="F529" s="52"/>
      <c r="G529" s="52"/>
      <c r="H529" s="52"/>
      <c r="I529" s="52"/>
      <c r="J529" s="52"/>
      <c r="K529" s="52"/>
      <c r="L529" s="52"/>
    </row>
    <row r="530">
      <c r="A530" s="77"/>
      <c r="B530" s="77"/>
      <c r="C530" s="52"/>
      <c r="D530" s="52"/>
      <c r="E530" s="52"/>
      <c r="F530" s="52"/>
      <c r="G530" s="52"/>
      <c r="H530" s="52"/>
      <c r="I530" s="52"/>
      <c r="J530" s="52"/>
      <c r="K530" s="52"/>
      <c r="L530" s="52"/>
    </row>
    <row r="531">
      <c r="A531" s="77"/>
      <c r="B531" s="77"/>
      <c r="C531" s="52"/>
      <c r="D531" s="52"/>
      <c r="E531" s="52"/>
      <c r="F531" s="52"/>
      <c r="G531" s="52"/>
      <c r="H531" s="52"/>
      <c r="I531" s="52"/>
      <c r="J531" s="52"/>
      <c r="K531" s="52"/>
      <c r="L531" s="52"/>
    </row>
    <row r="532">
      <c r="A532" s="77"/>
      <c r="B532" s="77"/>
      <c r="C532" s="52"/>
      <c r="D532" s="52"/>
      <c r="E532" s="52"/>
      <c r="F532" s="52"/>
      <c r="G532" s="52"/>
      <c r="H532" s="52"/>
      <c r="I532" s="52"/>
      <c r="J532" s="52"/>
      <c r="K532" s="52"/>
      <c r="L532" s="52"/>
    </row>
    <row r="533">
      <c r="A533" s="77"/>
      <c r="B533" s="77"/>
      <c r="C533" s="52"/>
      <c r="D533" s="52"/>
      <c r="E533" s="52"/>
      <c r="F533" s="52"/>
      <c r="G533" s="52"/>
      <c r="H533" s="52"/>
      <c r="I533" s="52"/>
      <c r="J533" s="52"/>
      <c r="K533" s="52"/>
      <c r="L533" s="52"/>
    </row>
    <row r="534">
      <c r="A534" s="77"/>
      <c r="B534" s="77"/>
      <c r="C534" s="52"/>
      <c r="D534" s="52"/>
      <c r="E534" s="52"/>
      <c r="F534" s="52"/>
      <c r="G534" s="52"/>
      <c r="H534" s="52"/>
      <c r="I534" s="52"/>
      <c r="J534" s="52"/>
      <c r="K534" s="52"/>
      <c r="L534" s="52"/>
    </row>
    <row r="535">
      <c r="A535" s="77"/>
      <c r="B535" s="77"/>
      <c r="C535" s="52"/>
      <c r="D535" s="52"/>
      <c r="E535" s="52"/>
      <c r="F535" s="52"/>
      <c r="G535" s="52"/>
      <c r="H535" s="52"/>
      <c r="I535" s="52"/>
      <c r="J535" s="52"/>
      <c r="K535" s="52"/>
      <c r="L535" s="52"/>
    </row>
    <row r="536">
      <c r="A536" s="77"/>
      <c r="B536" s="77"/>
      <c r="C536" s="52"/>
      <c r="D536" s="52"/>
      <c r="E536" s="52"/>
      <c r="F536" s="52"/>
      <c r="G536" s="52"/>
      <c r="H536" s="52"/>
      <c r="I536" s="52"/>
      <c r="J536" s="52"/>
      <c r="K536" s="52"/>
      <c r="L536" s="52"/>
    </row>
    <row r="537">
      <c r="A537" s="77"/>
      <c r="B537" s="77"/>
      <c r="C537" s="52"/>
      <c r="D537" s="52"/>
      <c r="E537" s="52"/>
      <c r="F537" s="52"/>
      <c r="G537" s="52"/>
      <c r="H537" s="52"/>
      <c r="I537" s="52"/>
      <c r="J537" s="52"/>
      <c r="K537" s="52"/>
      <c r="L537" s="52"/>
    </row>
    <row r="538">
      <c r="A538" s="77"/>
      <c r="B538" s="77"/>
      <c r="C538" s="52"/>
      <c r="D538" s="52"/>
      <c r="E538" s="52"/>
      <c r="F538" s="52"/>
      <c r="G538" s="52"/>
      <c r="H538" s="52"/>
      <c r="I538" s="52"/>
      <c r="J538" s="52"/>
      <c r="K538" s="52"/>
      <c r="L538" s="52"/>
    </row>
    <row r="539">
      <c r="A539" s="77"/>
      <c r="B539" s="77"/>
      <c r="C539" s="52"/>
      <c r="D539" s="52"/>
      <c r="E539" s="52"/>
      <c r="F539" s="52"/>
      <c r="G539" s="52"/>
      <c r="H539" s="52"/>
      <c r="I539" s="52"/>
      <c r="J539" s="52"/>
      <c r="K539" s="52"/>
      <c r="L539" s="52"/>
    </row>
    <row r="540">
      <c r="A540" s="77"/>
      <c r="B540" s="77"/>
      <c r="C540" s="52"/>
      <c r="D540" s="52"/>
      <c r="E540" s="52"/>
      <c r="F540" s="52"/>
      <c r="G540" s="52"/>
      <c r="H540" s="52"/>
      <c r="I540" s="52"/>
      <c r="J540" s="52"/>
      <c r="K540" s="52"/>
      <c r="L540" s="52"/>
    </row>
    <row r="541">
      <c r="A541" s="77"/>
      <c r="B541" s="77"/>
      <c r="C541" s="52"/>
      <c r="D541" s="52"/>
      <c r="E541" s="52"/>
      <c r="F541" s="52"/>
      <c r="G541" s="52"/>
      <c r="H541" s="52"/>
      <c r="I541" s="52"/>
      <c r="J541" s="52"/>
      <c r="K541" s="52"/>
      <c r="L541" s="52"/>
    </row>
    <row r="542">
      <c r="A542" s="77"/>
      <c r="B542" s="77"/>
      <c r="C542" s="52"/>
      <c r="D542" s="52"/>
      <c r="E542" s="52"/>
      <c r="F542" s="52"/>
      <c r="G542" s="52"/>
      <c r="H542" s="52"/>
      <c r="I542" s="52"/>
      <c r="J542" s="52"/>
      <c r="K542" s="52"/>
      <c r="L542" s="52"/>
    </row>
    <row r="543">
      <c r="A543" s="77"/>
      <c r="B543" s="77"/>
      <c r="C543" s="52"/>
      <c r="D543" s="52"/>
      <c r="E543" s="52"/>
      <c r="F543" s="52"/>
      <c r="G543" s="52"/>
      <c r="H543" s="52"/>
      <c r="I543" s="52"/>
      <c r="J543" s="52"/>
      <c r="K543" s="52"/>
      <c r="L543" s="52"/>
    </row>
    <row r="544">
      <c r="A544" s="77"/>
      <c r="B544" s="77"/>
      <c r="C544" s="52"/>
      <c r="D544" s="52"/>
      <c r="E544" s="52"/>
      <c r="F544" s="52"/>
      <c r="G544" s="52"/>
      <c r="H544" s="52"/>
      <c r="I544" s="52"/>
      <c r="J544" s="52"/>
      <c r="K544" s="52"/>
      <c r="L544" s="52"/>
    </row>
    <row r="545">
      <c r="A545" s="77"/>
      <c r="B545" s="77"/>
      <c r="C545" s="52"/>
      <c r="D545" s="52"/>
      <c r="E545" s="52"/>
      <c r="F545" s="52"/>
      <c r="G545" s="52"/>
      <c r="H545" s="52"/>
      <c r="I545" s="52"/>
      <c r="J545" s="52"/>
      <c r="K545" s="52"/>
      <c r="L545" s="52"/>
    </row>
    <row r="546">
      <c r="A546" s="77"/>
      <c r="B546" s="77"/>
      <c r="C546" s="52"/>
      <c r="D546" s="52"/>
      <c r="E546" s="52"/>
      <c r="F546" s="52"/>
      <c r="G546" s="52"/>
      <c r="H546" s="52"/>
      <c r="I546" s="52"/>
      <c r="J546" s="52"/>
      <c r="K546" s="52"/>
      <c r="L546" s="52"/>
    </row>
    <row r="547">
      <c r="A547" s="77"/>
      <c r="B547" s="77"/>
      <c r="C547" s="52"/>
      <c r="D547" s="52"/>
      <c r="E547" s="52"/>
      <c r="F547" s="52"/>
      <c r="G547" s="52"/>
      <c r="H547" s="52"/>
      <c r="I547" s="52"/>
      <c r="J547" s="52"/>
      <c r="K547" s="52"/>
      <c r="L547" s="52"/>
    </row>
    <row r="548">
      <c r="A548" s="77"/>
      <c r="B548" s="77"/>
      <c r="C548" s="52"/>
      <c r="D548" s="52"/>
      <c r="E548" s="52"/>
      <c r="F548" s="52"/>
      <c r="G548" s="52"/>
      <c r="H548" s="52"/>
      <c r="I548" s="52"/>
      <c r="J548" s="52"/>
      <c r="K548" s="52"/>
      <c r="L548" s="52"/>
    </row>
    <row r="549">
      <c r="A549" s="77"/>
      <c r="B549" s="77"/>
      <c r="C549" s="52"/>
      <c r="D549" s="52"/>
      <c r="E549" s="52"/>
      <c r="F549" s="52"/>
      <c r="G549" s="52"/>
      <c r="H549" s="52"/>
      <c r="I549" s="52"/>
      <c r="J549" s="52"/>
      <c r="K549" s="52"/>
      <c r="L549" s="52"/>
    </row>
    <row r="550">
      <c r="A550" s="77"/>
      <c r="B550" s="77"/>
      <c r="C550" s="52"/>
      <c r="D550" s="52"/>
      <c r="E550" s="52"/>
      <c r="F550" s="52"/>
      <c r="G550" s="52"/>
      <c r="H550" s="52"/>
      <c r="I550" s="52"/>
      <c r="J550" s="52"/>
      <c r="K550" s="52"/>
      <c r="L550" s="52"/>
    </row>
    <row r="551">
      <c r="A551" s="77"/>
      <c r="B551" s="77"/>
      <c r="C551" s="52"/>
      <c r="D551" s="52"/>
      <c r="E551" s="52"/>
      <c r="F551" s="52"/>
      <c r="G551" s="52"/>
      <c r="H551" s="52"/>
      <c r="I551" s="52"/>
      <c r="J551" s="52"/>
      <c r="K551" s="52"/>
      <c r="L551" s="52"/>
    </row>
    <row r="552">
      <c r="A552" s="77"/>
      <c r="B552" s="77"/>
      <c r="C552" s="52"/>
      <c r="D552" s="52"/>
      <c r="E552" s="52"/>
      <c r="F552" s="52"/>
      <c r="G552" s="52"/>
      <c r="H552" s="52"/>
      <c r="I552" s="52"/>
      <c r="J552" s="52"/>
      <c r="K552" s="52"/>
      <c r="L552" s="52"/>
    </row>
    <row r="553">
      <c r="A553" s="77"/>
      <c r="B553" s="77"/>
      <c r="C553" s="52"/>
      <c r="D553" s="52"/>
      <c r="E553" s="52"/>
      <c r="F553" s="52"/>
      <c r="G553" s="52"/>
      <c r="H553" s="52"/>
      <c r="I553" s="52"/>
      <c r="J553" s="52"/>
      <c r="K553" s="52"/>
      <c r="L553" s="52"/>
    </row>
    <row r="554">
      <c r="A554" s="77"/>
      <c r="B554" s="77"/>
      <c r="C554" s="52"/>
      <c r="D554" s="52"/>
      <c r="E554" s="52"/>
      <c r="F554" s="52"/>
      <c r="G554" s="52"/>
      <c r="H554" s="52"/>
      <c r="I554" s="52"/>
      <c r="J554" s="52"/>
      <c r="K554" s="52"/>
      <c r="L554" s="52"/>
    </row>
    <row r="555">
      <c r="A555" s="77"/>
      <c r="B555" s="77"/>
      <c r="C555" s="52"/>
      <c r="D555" s="52"/>
      <c r="E555" s="52"/>
      <c r="F555" s="52"/>
      <c r="G555" s="52"/>
      <c r="H555" s="52"/>
      <c r="I555" s="52"/>
      <c r="J555" s="52"/>
      <c r="K555" s="52"/>
      <c r="L555" s="52"/>
    </row>
    <row r="556">
      <c r="A556" s="77"/>
      <c r="B556" s="77"/>
      <c r="C556" s="52"/>
      <c r="D556" s="52"/>
      <c r="E556" s="52"/>
      <c r="F556" s="52"/>
      <c r="G556" s="52"/>
      <c r="H556" s="52"/>
      <c r="I556" s="52"/>
      <c r="J556" s="52"/>
      <c r="K556" s="52"/>
      <c r="L556" s="52"/>
    </row>
    <row r="557">
      <c r="A557" s="77"/>
      <c r="B557" s="77"/>
      <c r="C557" s="52"/>
      <c r="D557" s="52"/>
      <c r="E557" s="52"/>
      <c r="F557" s="52"/>
      <c r="G557" s="52"/>
      <c r="H557" s="52"/>
      <c r="I557" s="52"/>
      <c r="J557" s="52"/>
      <c r="K557" s="52"/>
      <c r="L557" s="52"/>
    </row>
    <row r="558">
      <c r="A558" s="77"/>
      <c r="B558" s="77"/>
      <c r="C558" s="52"/>
      <c r="D558" s="52"/>
      <c r="E558" s="52"/>
      <c r="F558" s="52"/>
      <c r="G558" s="52"/>
      <c r="H558" s="52"/>
      <c r="I558" s="52"/>
      <c r="J558" s="52"/>
      <c r="K558" s="52"/>
      <c r="L558" s="52"/>
    </row>
    <row r="559">
      <c r="A559" s="77"/>
      <c r="B559" s="77"/>
      <c r="C559" s="52"/>
      <c r="D559" s="52"/>
      <c r="E559" s="52"/>
      <c r="F559" s="52"/>
      <c r="G559" s="52"/>
      <c r="H559" s="52"/>
      <c r="I559" s="52"/>
      <c r="J559" s="52"/>
      <c r="K559" s="52"/>
      <c r="L559" s="52"/>
    </row>
    <row r="560">
      <c r="A560" s="77"/>
      <c r="B560" s="77"/>
      <c r="C560" s="52"/>
      <c r="D560" s="52"/>
      <c r="E560" s="52"/>
      <c r="F560" s="52"/>
      <c r="G560" s="52"/>
      <c r="H560" s="52"/>
      <c r="I560" s="52"/>
      <c r="J560" s="52"/>
      <c r="K560" s="52"/>
      <c r="L560" s="52"/>
    </row>
    <row r="561">
      <c r="A561" s="77"/>
      <c r="B561" s="77"/>
      <c r="C561" s="52"/>
      <c r="D561" s="52"/>
      <c r="E561" s="52"/>
      <c r="F561" s="52"/>
      <c r="G561" s="52"/>
      <c r="H561" s="52"/>
      <c r="I561" s="52"/>
      <c r="J561" s="52"/>
      <c r="K561" s="52"/>
      <c r="L561" s="52"/>
    </row>
    <row r="562">
      <c r="A562" s="77"/>
      <c r="B562" s="77"/>
      <c r="C562" s="52"/>
      <c r="D562" s="52"/>
      <c r="E562" s="52"/>
      <c r="F562" s="52"/>
      <c r="G562" s="52"/>
      <c r="H562" s="52"/>
      <c r="I562" s="52"/>
      <c r="J562" s="52"/>
      <c r="K562" s="52"/>
      <c r="L562" s="52"/>
    </row>
    <row r="563">
      <c r="A563" s="77"/>
      <c r="B563" s="77"/>
      <c r="C563" s="52"/>
      <c r="D563" s="52"/>
      <c r="E563" s="52"/>
      <c r="F563" s="52"/>
      <c r="G563" s="52"/>
      <c r="H563" s="52"/>
      <c r="I563" s="52"/>
      <c r="J563" s="52"/>
      <c r="K563" s="52"/>
      <c r="L563" s="52"/>
    </row>
    <row r="564">
      <c r="A564" s="77"/>
      <c r="B564" s="77"/>
      <c r="C564" s="52"/>
      <c r="D564" s="52"/>
      <c r="E564" s="52"/>
      <c r="F564" s="52"/>
      <c r="G564" s="52"/>
      <c r="H564" s="52"/>
      <c r="I564" s="52"/>
      <c r="J564" s="52"/>
      <c r="K564" s="52"/>
      <c r="L564" s="52"/>
    </row>
    <row r="565">
      <c r="A565" s="77"/>
      <c r="B565" s="77"/>
      <c r="C565" s="52"/>
      <c r="D565" s="52"/>
      <c r="E565" s="52"/>
      <c r="F565" s="52"/>
      <c r="G565" s="52"/>
      <c r="H565" s="52"/>
      <c r="I565" s="52"/>
      <c r="J565" s="52"/>
      <c r="K565" s="52"/>
      <c r="L565" s="52"/>
    </row>
    <row r="566">
      <c r="A566" s="77"/>
      <c r="B566" s="77"/>
      <c r="C566" s="52"/>
      <c r="D566" s="52"/>
      <c r="E566" s="52"/>
      <c r="F566" s="52"/>
      <c r="G566" s="52"/>
      <c r="H566" s="52"/>
      <c r="I566" s="52"/>
      <c r="J566" s="52"/>
      <c r="K566" s="52"/>
      <c r="L566" s="52"/>
    </row>
    <row r="567">
      <c r="A567" s="77"/>
      <c r="B567" s="77"/>
      <c r="C567" s="52"/>
      <c r="D567" s="52"/>
      <c r="E567" s="52"/>
      <c r="F567" s="52"/>
      <c r="G567" s="52"/>
      <c r="H567" s="52"/>
      <c r="I567" s="52"/>
      <c r="J567" s="52"/>
      <c r="K567" s="52"/>
      <c r="L567" s="52"/>
    </row>
    <row r="568">
      <c r="A568" s="77"/>
      <c r="B568" s="77"/>
      <c r="C568" s="52"/>
      <c r="D568" s="52"/>
      <c r="E568" s="52"/>
      <c r="F568" s="52"/>
      <c r="G568" s="52"/>
      <c r="H568" s="52"/>
      <c r="I568" s="52"/>
      <c r="J568" s="52"/>
      <c r="K568" s="52"/>
      <c r="L568" s="52"/>
    </row>
    <row r="569">
      <c r="A569" s="77"/>
      <c r="B569" s="77"/>
      <c r="C569" s="52"/>
      <c r="D569" s="52"/>
      <c r="E569" s="52"/>
      <c r="F569" s="52"/>
      <c r="G569" s="52"/>
      <c r="H569" s="52"/>
      <c r="I569" s="52"/>
      <c r="J569" s="52"/>
      <c r="K569" s="52"/>
      <c r="L569" s="52"/>
    </row>
    <row r="570">
      <c r="A570" s="77"/>
      <c r="B570" s="77"/>
      <c r="C570" s="52"/>
      <c r="D570" s="52"/>
      <c r="E570" s="52"/>
      <c r="F570" s="52"/>
      <c r="G570" s="52"/>
      <c r="H570" s="52"/>
      <c r="I570" s="52"/>
      <c r="J570" s="52"/>
      <c r="K570" s="52"/>
      <c r="L570" s="52"/>
    </row>
    <row r="571">
      <c r="A571" s="77"/>
      <c r="B571" s="77"/>
      <c r="C571" s="52"/>
      <c r="D571" s="52"/>
      <c r="E571" s="52"/>
      <c r="F571" s="52"/>
      <c r="G571" s="52"/>
      <c r="H571" s="52"/>
      <c r="I571" s="52"/>
      <c r="J571" s="52"/>
      <c r="K571" s="52"/>
      <c r="L571" s="52"/>
    </row>
    <row r="572">
      <c r="A572" s="77"/>
      <c r="B572" s="77"/>
      <c r="C572" s="52"/>
      <c r="D572" s="52"/>
      <c r="E572" s="52"/>
      <c r="F572" s="52"/>
      <c r="G572" s="52"/>
      <c r="H572" s="52"/>
      <c r="I572" s="52"/>
      <c r="J572" s="52"/>
      <c r="K572" s="52"/>
      <c r="L572" s="52"/>
    </row>
    <row r="573">
      <c r="A573" s="77"/>
      <c r="B573" s="77"/>
      <c r="C573" s="52"/>
      <c r="D573" s="52"/>
      <c r="E573" s="52"/>
      <c r="F573" s="52"/>
      <c r="G573" s="52"/>
      <c r="H573" s="52"/>
      <c r="I573" s="52"/>
      <c r="J573" s="52"/>
      <c r="K573" s="52"/>
      <c r="L573" s="52"/>
    </row>
    <row r="574">
      <c r="A574" s="77"/>
      <c r="B574" s="77"/>
      <c r="C574" s="52"/>
      <c r="D574" s="52"/>
      <c r="E574" s="52"/>
      <c r="F574" s="52"/>
      <c r="G574" s="52"/>
      <c r="H574" s="52"/>
      <c r="I574" s="52"/>
      <c r="J574" s="52"/>
      <c r="K574" s="52"/>
      <c r="L574" s="52"/>
    </row>
    <row r="575">
      <c r="A575" s="77"/>
      <c r="B575" s="77"/>
      <c r="C575" s="52"/>
      <c r="D575" s="52"/>
      <c r="E575" s="52"/>
      <c r="F575" s="52"/>
      <c r="G575" s="52"/>
      <c r="H575" s="52"/>
      <c r="I575" s="52"/>
      <c r="J575" s="52"/>
      <c r="K575" s="52"/>
      <c r="L575" s="52"/>
    </row>
    <row r="576">
      <c r="A576" s="77"/>
      <c r="B576" s="77"/>
      <c r="C576" s="52"/>
      <c r="D576" s="52"/>
      <c r="E576" s="52"/>
      <c r="F576" s="52"/>
      <c r="G576" s="52"/>
      <c r="H576" s="52"/>
      <c r="I576" s="52"/>
      <c r="J576" s="52"/>
      <c r="K576" s="52"/>
      <c r="L576" s="52"/>
    </row>
    <row r="577">
      <c r="A577" s="77"/>
      <c r="B577" s="77"/>
      <c r="C577" s="52"/>
      <c r="D577" s="52"/>
      <c r="E577" s="52"/>
      <c r="F577" s="52"/>
      <c r="G577" s="52"/>
      <c r="H577" s="52"/>
      <c r="I577" s="52"/>
      <c r="J577" s="52"/>
      <c r="K577" s="52"/>
      <c r="L577" s="52"/>
    </row>
    <row r="578">
      <c r="A578" s="77"/>
      <c r="B578" s="77"/>
      <c r="C578" s="52"/>
      <c r="D578" s="52"/>
      <c r="E578" s="52"/>
      <c r="F578" s="52"/>
      <c r="G578" s="52"/>
      <c r="H578" s="52"/>
      <c r="I578" s="52"/>
      <c r="J578" s="52"/>
      <c r="K578" s="52"/>
      <c r="L578" s="52"/>
    </row>
    <row r="579">
      <c r="A579" s="77"/>
      <c r="B579" s="77"/>
      <c r="C579" s="52"/>
      <c r="D579" s="52"/>
      <c r="E579" s="52"/>
      <c r="F579" s="52"/>
      <c r="G579" s="52"/>
      <c r="H579" s="52"/>
      <c r="I579" s="52"/>
      <c r="J579" s="52"/>
      <c r="K579" s="52"/>
      <c r="L579" s="52"/>
    </row>
    <row r="580">
      <c r="A580" s="77"/>
      <c r="B580" s="77"/>
      <c r="C580" s="52"/>
      <c r="D580" s="52"/>
      <c r="E580" s="52"/>
      <c r="F580" s="52"/>
      <c r="G580" s="52"/>
      <c r="H580" s="52"/>
      <c r="I580" s="52"/>
      <c r="J580" s="52"/>
      <c r="K580" s="52"/>
      <c r="L580" s="52"/>
    </row>
    <row r="581">
      <c r="A581" s="77"/>
      <c r="B581" s="77"/>
      <c r="C581" s="52"/>
      <c r="D581" s="52"/>
      <c r="E581" s="52"/>
      <c r="F581" s="52"/>
      <c r="G581" s="52"/>
      <c r="H581" s="52"/>
      <c r="I581" s="52"/>
      <c r="J581" s="52"/>
      <c r="K581" s="52"/>
      <c r="L581" s="52"/>
    </row>
    <row r="582">
      <c r="A582" s="77"/>
      <c r="B582" s="77"/>
      <c r="C582" s="52"/>
      <c r="D582" s="52"/>
      <c r="E582" s="52"/>
      <c r="F582" s="52"/>
      <c r="G582" s="52"/>
      <c r="H582" s="52"/>
      <c r="I582" s="52"/>
      <c r="J582" s="52"/>
      <c r="K582" s="52"/>
      <c r="L582" s="52"/>
    </row>
    <row r="583">
      <c r="A583" s="77"/>
      <c r="B583" s="77"/>
      <c r="C583" s="52"/>
      <c r="D583" s="52"/>
      <c r="E583" s="52"/>
      <c r="F583" s="52"/>
      <c r="G583" s="52"/>
      <c r="H583" s="52"/>
      <c r="I583" s="52"/>
      <c r="J583" s="52"/>
      <c r="K583" s="52"/>
      <c r="L583" s="52"/>
    </row>
    <row r="584">
      <c r="A584" s="77"/>
      <c r="B584" s="77"/>
      <c r="C584" s="52"/>
      <c r="D584" s="52"/>
      <c r="E584" s="52"/>
      <c r="F584" s="52"/>
      <c r="G584" s="52"/>
      <c r="H584" s="52"/>
      <c r="I584" s="52"/>
      <c r="J584" s="52"/>
      <c r="K584" s="52"/>
      <c r="L584" s="52"/>
    </row>
    <row r="585">
      <c r="A585" s="77"/>
      <c r="B585" s="77"/>
      <c r="C585" s="52"/>
      <c r="D585" s="52"/>
      <c r="E585" s="52"/>
      <c r="F585" s="52"/>
      <c r="G585" s="52"/>
      <c r="H585" s="52"/>
      <c r="I585" s="52"/>
      <c r="J585" s="52"/>
      <c r="K585" s="52"/>
      <c r="L585" s="52"/>
    </row>
    <row r="586">
      <c r="A586" s="77"/>
      <c r="B586" s="77"/>
      <c r="C586" s="52"/>
      <c r="D586" s="52"/>
      <c r="E586" s="52"/>
      <c r="F586" s="52"/>
      <c r="G586" s="52"/>
      <c r="H586" s="52"/>
      <c r="I586" s="52"/>
      <c r="J586" s="52"/>
      <c r="K586" s="52"/>
      <c r="L586" s="52"/>
    </row>
    <row r="587">
      <c r="A587" s="77"/>
      <c r="B587" s="77"/>
      <c r="C587" s="52"/>
      <c r="D587" s="52"/>
      <c r="E587" s="52"/>
      <c r="F587" s="52"/>
      <c r="G587" s="52"/>
      <c r="H587" s="52"/>
      <c r="I587" s="52"/>
      <c r="J587" s="52"/>
      <c r="K587" s="52"/>
      <c r="L587" s="52"/>
    </row>
    <row r="588">
      <c r="A588" s="77"/>
      <c r="B588" s="77"/>
      <c r="C588" s="52"/>
      <c r="D588" s="52"/>
      <c r="E588" s="52"/>
      <c r="F588" s="52"/>
      <c r="G588" s="52"/>
      <c r="H588" s="52"/>
      <c r="I588" s="52"/>
      <c r="J588" s="52"/>
      <c r="K588" s="52"/>
      <c r="L588" s="52"/>
    </row>
    <row r="589">
      <c r="A589" s="77"/>
      <c r="B589" s="77"/>
      <c r="C589" s="52"/>
      <c r="D589" s="52"/>
      <c r="E589" s="52"/>
      <c r="F589" s="52"/>
      <c r="G589" s="52"/>
      <c r="H589" s="52"/>
      <c r="I589" s="52"/>
      <c r="J589" s="52"/>
      <c r="K589" s="52"/>
      <c r="L589" s="52"/>
    </row>
    <row r="590">
      <c r="A590" s="77"/>
      <c r="B590" s="77"/>
      <c r="C590" s="52"/>
      <c r="D590" s="52"/>
      <c r="E590" s="52"/>
      <c r="F590" s="52"/>
      <c r="G590" s="52"/>
      <c r="H590" s="52"/>
      <c r="I590" s="52"/>
      <c r="J590" s="52"/>
      <c r="K590" s="52"/>
      <c r="L590" s="52"/>
    </row>
    <row r="591">
      <c r="A591" s="77"/>
      <c r="B591" s="77"/>
      <c r="C591" s="52"/>
      <c r="D591" s="52"/>
      <c r="E591" s="52"/>
      <c r="F591" s="52"/>
      <c r="G591" s="52"/>
      <c r="H591" s="52"/>
      <c r="I591" s="52"/>
      <c r="J591" s="52"/>
      <c r="K591" s="52"/>
      <c r="L591" s="52"/>
    </row>
    <row r="592">
      <c r="A592" s="77"/>
      <c r="B592" s="77"/>
      <c r="C592" s="52"/>
      <c r="D592" s="52"/>
      <c r="E592" s="52"/>
      <c r="F592" s="52"/>
      <c r="G592" s="52"/>
      <c r="H592" s="52"/>
      <c r="I592" s="52"/>
      <c r="J592" s="52"/>
      <c r="K592" s="52"/>
      <c r="L592" s="52"/>
    </row>
    <row r="593">
      <c r="A593" s="77"/>
      <c r="B593" s="77"/>
      <c r="C593" s="52"/>
      <c r="D593" s="52"/>
      <c r="E593" s="52"/>
      <c r="F593" s="52"/>
      <c r="G593" s="52"/>
      <c r="H593" s="52"/>
      <c r="I593" s="52"/>
      <c r="J593" s="52"/>
      <c r="K593" s="52"/>
      <c r="L593" s="52"/>
    </row>
    <row r="594">
      <c r="A594" s="77"/>
      <c r="B594" s="77"/>
      <c r="C594" s="52"/>
      <c r="D594" s="52"/>
      <c r="E594" s="52"/>
      <c r="F594" s="52"/>
      <c r="G594" s="52"/>
      <c r="H594" s="52"/>
      <c r="I594" s="52"/>
      <c r="J594" s="52"/>
      <c r="K594" s="52"/>
      <c r="L594" s="52"/>
    </row>
    <row r="595">
      <c r="A595" s="77"/>
      <c r="B595" s="77"/>
      <c r="C595" s="52"/>
      <c r="D595" s="52"/>
      <c r="E595" s="52"/>
      <c r="F595" s="52"/>
      <c r="G595" s="52"/>
      <c r="H595" s="52"/>
      <c r="I595" s="52"/>
      <c r="J595" s="52"/>
      <c r="K595" s="52"/>
      <c r="L595" s="52"/>
    </row>
    <row r="596">
      <c r="A596" s="77"/>
      <c r="B596" s="77"/>
      <c r="C596" s="52"/>
      <c r="D596" s="52"/>
      <c r="E596" s="52"/>
      <c r="F596" s="52"/>
      <c r="G596" s="52"/>
      <c r="H596" s="52"/>
      <c r="I596" s="52"/>
      <c r="J596" s="52"/>
      <c r="K596" s="52"/>
      <c r="L596" s="52"/>
    </row>
    <row r="597">
      <c r="A597" s="77"/>
      <c r="B597" s="77"/>
      <c r="C597" s="52"/>
      <c r="D597" s="52"/>
      <c r="E597" s="52"/>
      <c r="F597" s="52"/>
      <c r="G597" s="52"/>
      <c r="H597" s="52"/>
      <c r="I597" s="52"/>
      <c r="J597" s="52"/>
      <c r="K597" s="52"/>
      <c r="L597" s="52"/>
    </row>
    <row r="598">
      <c r="A598" s="77"/>
      <c r="B598" s="77"/>
      <c r="C598" s="52"/>
      <c r="D598" s="52"/>
      <c r="E598" s="52"/>
      <c r="F598" s="52"/>
      <c r="G598" s="52"/>
      <c r="H598" s="52"/>
      <c r="I598" s="52"/>
      <c r="J598" s="52"/>
      <c r="K598" s="52"/>
      <c r="L598" s="52"/>
    </row>
    <row r="599">
      <c r="A599" s="77"/>
      <c r="B599" s="77"/>
      <c r="C599" s="52"/>
      <c r="D599" s="52"/>
      <c r="E599" s="52"/>
      <c r="F599" s="52"/>
      <c r="G599" s="52"/>
      <c r="H599" s="52"/>
      <c r="I599" s="52"/>
      <c r="J599" s="52"/>
      <c r="K599" s="52"/>
      <c r="L599" s="52"/>
    </row>
    <row r="600">
      <c r="A600" s="77"/>
      <c r="B600" s="77"/>
      <c r="C600" s="52"/>
      <c r="D600" s="52"/>
      <c r="E600" s="52"/>
      <c r="F600" s="52"/>
      <c r="G600" s="52"/>
      <c r="H600" s="52"/>
      <c r="I600" s="52"/>
      <c r="J600" s="52"/>
      <c r="K600" s="52"/>
      <c r="L600" s="52"/>
    </row>
    <row r="601">
      <c r="A601" s="77"/>
      <c r="B601" s="77"/>
      <c r="C601" s="52"/>
      <c r="D601" s="52"/>
      <c r="E601" s="52"/>
      <c r="F601" s="52"/>
      <c r="G601" s="52"/>
      <c r="H601" s="52"/>
      <c r="I601" s="52"/>
      <c r="J601" s="52"/>
      <c r="K601" s="52"/>
      <c r="L601" s="52"/>
    </row>
    <row r="602">
      <c r="A602" s="77"/>
      <c r="B602" s="77"/>
      <c r="C602" s="52"/>
      <c r="D602" s="52"/>
      <c r="E602" s="52"/>
      <c r="F602" s="52"/>
      <c r="G602" s="52"/>
      <c r="H602" s="52"/>
      <c r="I602" s="52"/>
      <c r="J602" s="52"/>
      <c r="K602" s="52"/>
      <c r="L602" s="52"/>
    </row>
    <row r="603">
      <c r="A603" s="77"/>
      <c r="B603" s="77"/>
      <c r="C603" s="52"/>
      <c r="D603" s="52"/>
      <c r="E603" s="52"/>
      <c r="F603" s="52"/>
      <c r="G603" s="52"/>
      <c r="H603" s="52"/>
      <c r="I603" s="52"/>
      <c r="J603" s="52"/>
      <c r="K603" s="52"/>
      <c r="L603" s="52"/>
    </row>
    <row r="604">
      <c r="A604" s="77"/>
      <c r="B604" s="77"/>
      <c r="C604" s="52"/>
      <c r="D604" s="52"/>
      <c r="E604" s="52"/>
      <c r="F604" s="52"/>
      <c r="G604" s="52"/>
      <c r="H604" s="52"/>
      <c r="I604" s="52"/>
      <c r="J604" s="52"/>
      <c r="K604" s="52"/>
      <c r="L604" s="52"/>
    </row>
    <row r="605">
      <c r="A605" s="77"/>
      <c r="B605" s="77"/>
      <c r="C605" s="52"/>
      <c r="D605" s="52"/>
      <c r="E605" s="52"/>
      <c r="F605" s="52"/>
      <c r="G605" s="52"/>
      <c r="H605" s="52"/>
      <c r="I605" s="52"/>
      <c r="J605" s="52"/>
      <c r="K605" s="52"/>
      <c r="L605" s="52"/>
    </row>
    <row r="606">
      <c r="A606" s="77"/>
      <c r="B606" s="77"/>
      <c r="C606" s="52"/>
      <c r="D606" s="52"/>
      <c r="E606" s="52"/>
      <c r="F606" s="52"/>
      <c r="G606" s="52"/>
      <c r="H606" s="52"/>
      <c r="I606" s="52"/>
      <c r="J606" s="52"/>
      <c r="K606" s="52"/>
      <c r="L606" s="52"/>
    </row>
    <row r="607">
      <c r="A607" s="77"/>
      <c r="B607" s="77"/>
      <c r="C607" s="52"/>
      <c r="D607" s="52"/>
      <c r="E607" s="52"/>
      <c r="F607" s="52"/>
      <c r="G607" s="52"/>
      <c r="H607" s="52"/>
      <c r="I607" s="52"/>
      <c r="J607" s="52"/>
      <c r="K607" s="52"/>
      <c r="L607" s="52"/>
    </row>
    <row r="608">
      <c r="A608" s="77"/>
      <c r="B608" s="77"/>
      <c r="C608" s="52"/>
      <c r="D608" s="52"/>
      <c r="E608" s="52"/>
      <c r="F608" s="52"/>
      <c r="G608" s="52"/>
      <c r="H608" s="52"/>
      <c r="I608" s="52"/>
      <c r="J608" s="52"/>
      <c r="K608" s="52"/>
      <c r="L608" s="52"/>
    </row>
    <row r="609">
      <c r="A609" s="77"/>
      <c r="B609" s="77"/>
      <c r="C609" s="52"/>
      <c r="D609" s="52"/>
      <c r="E609" s="52"/>
      <c r="F609" s="52"/>
      <c r="G609" s="52"/>
      <c r="H609" s="52"/>
      <c r="I609" s="52"/>
      <c r="J609" s="52"/>
      <c r="K609" s="52"/>
      <c r="L609" s="52"/>
    </row>
    <row r="610">
      <c r="A610" s="77"/>
      <c r="B610" s="77"/>
      <c r="C610" s="52"/>
      <c r="D610" s="52"/>
      <c r="E610" s="52"/>
      <c r="F610" s="52"/>
      <c r="G610" s="52"/>
      <c r="H610" s="52"/>
      <c r="I610" s="52"/>
      <c r="J610" s="52"/>
      <c r="K610" s="52"/>
      <c r="L610" s="52"/>
    </row>
    <row r="611">
      <c r="A611" s="77"/>
      <c r="B611" s="77"/>
      <c r="C611" s="52"/>
      <c r="D611" s="52"/>
      <c r="E611" s="52"/>
      <c r="F611" s="52"/>
      <c r="G611" s="52"/>
      <c r="H611" s="52"/>
      <c r="I611" s="52"/>
      <c r="J611" s="52"/>
      <c r="K611" s="52"/>
      <c r="L611" s="52"/>
    </row>
    <row r="612">
      <c r="A612" s="77"/>
      <c r="B612" s="77"/>
      <c r="C612" s="52"/>
      <c r="D612" s="52"/>
      <c r="E612" s="52"/>
      <c r="F612" s="52"/>
      <c r="G612" s="52"/>
      <c r="H612" s="52"/>
      <c r="I612" s="52"/>
      <c r="J612" s="52"/>
      <c r="K612" s="52"/>
      <c r="L612" s="52"/>
    </row>
    <row r="613">
      <c r="A613" s="77"/>
      <c r="B613" s="77"/>
      <c r="C613" s="52"/>
      <c r="D613" s="52"/>
      <c r="E613" s="52"/>
      <c r="F613" s="52"/>
      <c r="G613" s="52"/>
      <c r="H613" s="52"/>
      <c r="I613" s="52"/>
      <c r="J613" s="52"/>
      <c r="K613" s="52"/>
      <c r="L613" s="52"/>
    </row>
    <row r="614">
      <c r="A614" s="77"/>
      <c r="B614" s="77"/>
      <c r="C614" s="52"/>
      <c r="D614" s="52"/>
      <c r="E614" s="52"/>
      <c r="F614" s="52"/>
      <c r="G614" s="52"/>
      <c r="H614" s="52"/>
      <c r="I614" s="52"/>
      <c r="J614" s="52"/>
      <c r="K614" s="52"/>
      <c r="L614" s="52"/>
    </row>
    <row r="615">
      <c r="A615" s="77"/>
      <c r="B615" s="77"/>
      <c r="C615" s="52"/>
      <c r="D615" s="52"/>
      <c r="E615" s="52"/>
      <c r="F615" s="52"/>
      <c r="G615" s="52"/>
      <c r="H615" s="52"/>
      <c r="I615" s="52"/>
      <c r="J615" s="52"/>
      <c r="K615" s="52"/>
      <c r="L615" s="52"/>
    </row>
    <row r="616">
      <c r="A616" s="77"/>
      <c r="B616" s="77"/>
      <c r="C616" s="52"/>
      <c r="D616" s="52"/>
      <c r="E616" s="52"/>
      <c r="F616" s="52"/>
      <c r="G616" s="52"/>
      <c r="H616" s="52"/>
      <c r="I616" s="52"/>
      <c r="J616" s="52"/>
      <c r="K616" s="52"/>
      <c r="L616" s="52"/>
    </row>
    <row r="617">
      <c r="A617" s="77"/>
      <c r="B617" s="77"/>
      <c r="C617" s="52"/>
      <c r="D617" s="52"/>
      <c r="E617" s="52"/>
      <c r="F617" s="52"/>
      <c r="G617" s="52"/>
      <c r="H617" s="52"/>
      <c r="I617" s="52"/>
      <c r="J617" s="52"/>
      <c r="K617" s="52"/>
      <c r="L617" s="52"/>
    </row>
    <row r="618">
      <c r="A618" s="77"/>
      <c r="B618" s="77"/>
      <c r="C618" s="52"/>
      <c r="D618" s="52"/>
      <c r="E618" s="52"/>
      <c r="F618" s="52"/>
      <c r="G618" s="52"/>
      <c r="H618" s="52"/>
      <c r="I618" s="52"/>
      <c r="J618" s="52"/>
      <c r="K618" s="52"/>
      <c r="L618" s="52"/>
    </row>
    <row r="619">
      <c r="A619" s="77"/>
      <c r="B619" s="77"/>
      <c r="C619" s="52"/>
      <c r="D619" s="52"/>
      <c r="E619" s="52"/>
      <c r="F619" s="52"/>
      <c r="G619" s="52"/>
      <c r="H619" s="52"/>
      <c r="I619" s="52"/>
      <c r="J619" s="52"/>
      <c r="K619" s="52"/>
      <c r="L619" s="52"/>
    </row>
    <row r="620">
      <c r="A620" s="77"/>
      <c r="B620" s="77"/>
      <c r="C620" s="52"/>
      <c r="D620" s="52"/>
      <c r="E620" s="52"/>
      <c r="F620" s="52"/>
      <c r="G620" s="52"/>
      <c r="H620" s="52"/>
      <c r="I620" s="52"/>
      <c r="J620" s="52"/>
      <c r="K620" s="52"/>
      <c r="L620" s="52"/>
    </row>
    <row r="621">
      <c r="A621" s="77"/>
      <c r="B621" s="77"/>
      <c r="C621" s="52"/>
      <c r="D621" s="52"/>
      <c r="E621" s="52"/>
      <c r="F621" s="52"/>
      <c r="G621" s="52"/>
      <c r="H621" s="52"/>
      <c r="I621" s="52"/>
      <c r="J621" s="52"/>
      <c r="K621" s="52"/>
      <c r="L621" s="52"/>
    </row>
    <row r="622">
      <c r="A622" s="77"/>
      <c r="B622" s="77"/>
      <c r="C622" s="52"/>
      <c r="D622" s="52"/>
      <c r="E622" s="52"/>
      <c r="F622" s="52"/>
      <c r="G622" s="52"/>
      <c r="H622" s="52"/>
      <c r="I622" s="52"/>
      <c r="J622" s="52"/>
      <c r="K622" s="52"/>
      <c r="L622" s="52"/>
    </row>
    <row r="623">
      <c r="A623" s="77"/>
      <c r="B623" s="77"/>
      <c r="C623" s="52"/>
      <c r="D623" s="52"/>
      <c r="E623" s="52"/>
      <c r="F623" s="52"/>
      <c r="G623" s="52"/>
      <c r="H623" s="52"/>
      <c r="I623" s="52"/>
      <c r="J623" s="52"/>
      <c r="K623" s="52"/>
      <c r="L623" s="52"/>
    </row>
    <row r="624">
      <c r="A624" s="77"/>
      <c r="B624" s="77"/>
      <c r="C624" s="52"/>
      <c r="D624" s="52"/>
      <c r="E624" s="52"/>
      <c r="F624" s="52"/>
      <c r="G624" s="52"/>
      <c r="H624" s="52"/>
      <c r="I624" s="52"/>
      <c r="J624" s="52"/>
      <c r="K624" s="52"/>
      <c r="L624" s="52"/>
    </row>
    <row r="625">
      <c r="A625" s="77"/>
      <c r="B625" s="77"/>
      <c r="C625" s="52"/>
      <c r="D625" s="52"/>
      <c r="E625" s="52"/>
      <c r="F625" s="52"/>
      <c r="G625" s="52"/>
      <c r="H625" s="52"/>
      <c r="I625" s="52"/>
      <c r="J625" s="52"/>
      <c r="K625" s="52"/>
      <c r="L625" s="52"/>
    </row>
    <row r="626">
      <c r="A626" s="77"/>
      <c r="B626" s="77"/>
      <c r="C626" s="52"/>
      <c r="D626" s="52"/>
      <c r="E626" s="52"/>
      <c r="F626" s="52"/>
      <c r="G626" s="52"/>
      <c r="H626" s="52"/>
      <c r="I626" s="52"/>
      <c r="J626" s="52"/>
      <c r="K626" s="52"/>
      <c r="L626" s="52"/>
    </row>
    <row r="627">
      <c r="A627" s="77"/>
      <c r="B627" s="77"/>
      <c r="C627" s="52"/>
      <c r="D627" s="52"/>
      <c r="E627" s="52"/>
      <c r="F627" s="52"/>
      <c r="G627" s="52"/>
      <c r="H627" s="52"/>
      <c r="I627" s="52"/>
      <c r="J627" s="52"/>
      <c r="K627" s="52"/>
      <c r="L627" s="52"/>
    </row>
    <row r="628">
      <c r="A628" s="77"/>
      <c r="B628" s="77"/>
      <c r="C628" s="52"/>
      <c r="D628" s="52"/>
      <c r="E628" s="52"/>
      <c r="F628" s="52"/>
      <c r="G628" s="52"/>
      <c r="H628" s="52"/>
      <c r="I628" s="52"/>
      <c r="J628" s="52"/>
      <c r="K628" s="52"/>
      <c r="L628" s="52"/>
    </row>
    <row r="629">
      <c r="A629" s="77"/>
      <c r="B629" s="77"/>
      <c r="C629" s="52"/>
      <c r="D629" s="52"/>
      <c r="E629" s="52"/>
      <c r="F629" s="52"/>
      <c r="G629" s="52"/>
      <c r="H629" s="52"/>
      <c r="I629" s="52"/>
      <c r="J629" s="52"/>
      <c r="K629" s="52"/>
      <c r="L629" s="52"/>
    </row>
    <row r="630">
      <c r="A630" s="77"/>
      <c r="B630" s="77"/>
      <c r="C630" s="52"/>
      <c r="D630" s="52"/>
      <c r="E630" s="52"/>
      <c r="F630" s="52"/>
      <c r="G630" s="52"/>
      <c r="H630" s="52"/>
      <c r="I630" s="52"/>
      <c r="J630" s="52"/>
      <c r="K630" s="52"/>
      <c r="L630" s="52"/>
    </row>
    <row r="631">
      <c r="A631" s="77"/>
      <c r="B631" s="77"/>
      <c r="C631" s="52"/>
      <c r="D631" s="52"/>
      <c r="E631" s="52"/>
      <c r="F631" s="52"/>
      <c r="G631" s="52"/>
      <c r="H631" s="52"/>
      <c r="I631" s="52"/>
      <c r="J631" s="52"/>
      <c r="K631" s="52"/>
      <c r="L631" s="52"/>
    </row>
    <row r="632">
      <c r="A632" s="77"/>
      <c r="B632" s="77"/>
      <c r="C632" s="52"/>
      <c r="D632" s="52"/>
      <c r="E632" s="52"/>
      <c r="F632" s="52"/>
      <c r="G632" s="52"/>
      <c r="H632" s="52"/>
      <c r="I632" s="52"/>
      <c r="J632" s="52"/>
      <c r="K632" s="52"/>
      <c r="L632" s="52"/>
    </row>
    <row r="633">
      <c r="A633" s="77"/>
      <c r="B633" s="77"/>
      <c r="C633" s="52"/>
      <c r="D633" s="52"/>
      <c r="E633" s="52"/>
      <c r="F633" s="52"/>
      <c r="G633" s="52"/>
      <c r="H633" s="52"/>
      <c r="I633" s="52"/>
      <c r="J633" s="52"/>
      <c r="K633" s="52"/>
      <c r="L633" s="52"/>
    </row>
    <row r="634">
      <c r="A634" s="77"/>
      <c r="B634" s="77"/>
      <c r="C634" s="52"/>
      <c r="D634" s="52"/>
      <c r="E634" s="52"/>
      <c r="F634" s="52"/>
      <c r="G634" s="52"/>
      <c r="H634" s="52"/>
      <c r="I634" s="52"/>
      <c r="J634" s="52"/>
      <c r="K634" s="52"/>
      <c r="L634" s="52"/>
    </row>
    <row r="635">
      <c r="A635" s="77"/>
      <c r="B635" s="77"/>
      <c r="C635" s="52"/>
      <c r="D635" s="52"/>
      <c r="E635" s="52"/>
      <c r="F635" s="52"/>
      <c r="G635" s="52"/>
      <c r="H635" s="52"/>
      <c r="I635" s="52"/>
      <c r="J635" s="52"/>
      <c r="K635" s="52"/>
      <c r="L635" s="52"/>
    </row>
    <row r="636">
      <c r="A636" s="77"/>
      <c r="B636" s="77"/>
      <c r="C636" s="52"/>
      <c r="D636" s="52"/>
      <c r="E636" s="52"/>
      <c r="F636" s="52"/>
      <c r="G636" s="52"/>
      <c r="H636" s="52"/>
      <c r="I636" s="52"/>
      <c r="J636" s="52"/>
      <c r="K636" s="52"/>
      <c r="L636" s="52"/>
    </row>
    <row r="637">
      <c r="A637" s="77"/>
      <c r="B637" s="77"/>
      <c r="C637" s="52"/>
      <c r="D637" s="52"/>
      <c r="E637" s="52"/>
      <c r="F637" s="52"/>
      <c r="G637" s="52"/>
      <c r="H637" s="52"/>
      <c r="I637" s="52"/>
      <c r="J637" s="52"/>
      <c r="K637" s="52"/>
      <c r="L637" s="52"/>
    </row>
    <row r="638">
      <c r="A638" s="77"/>
      <c r="B638" s="77"/>
      <c r="C638" s="52"/>
      <c r="D638" s="52"/>
      <c r="E638" s="52"/>
      <c r="F638" s="52"/>
      <c r="G638" s="52"/>
      <c r="H638" s="52"/>
      <c r="I638" s="52"/>
      <c r="J638" s="52"/>
      <c r="K638" s="52"/>
      <c r="L638" s="52"/>
    </row>
    <row r="639">
      <c r="A639" s="77"/>
      <c r="B639" s="77"/>
      <c r="C639" s="52"/>
      <c r="D639" s="52"/>
      <c r="E639" s="52"/>
      <c r="F639" s="52"/>
      <c r="G639" s="52"/>
      <c r="H639" s="52"/>
      <c r="I639" s="52"/>
      <c r="J639" s="52"/>
      <c r="K639" s="52"/>
      <c r="L639" s="52"/>
    </row>
    <row r="640">
      <c r="A640" s="77"/>
      <c r="B640" s="77"/>
      <c r="C640" s="52"/>
      <c r="D640" s="52"/>
      <c r="E640" s="52"/>
      <c r="F640" s="52"/>
      <c r="G640" s="52"/>
      <c r="H640" s="52"/>
      <c r="I640" s="52"/>
      <c r="J640" s="52"/>
      <c r="K640" s="52"/>
      <c r="L640" s="52"/>
    </row>
    <row r="641">
      <c r="A641" s="77"/>
      <c r="B641" s="77"/>
      <c r="C641" s="52"/>
      <c r="D641" s="52"/>
      <c r="E641" s="52"/>
      <c r="F641" s="52"/>
      <c r="G641" s="52"/>
      <c r="H641" s="52"/>
      <c r="I641" s="52"/>
      <c r="J641" s="52"/>
      <c r="K641" s="52"/>
      <c r="L641" s="52"/>
    </row>
    <row r="642">
      <c r="A642" s="77"/>
      <c r="B642" s="77"/>
      <c r="C642" s="52"/>
      <c r="D642" s="52"/>
      <c r="E642" s="52"/>
      <c r="F642" s="52"/>
      <c r="G642" s="52"/>
      <c r="H642" s="52"/>
      <c r="I642" s="52"/>
      <c r="J642" s="52"/>
      <c r="K642" s="52"/>
      <c r="L642" s="52"/>
    </row>
    <row r="643">
      <c r="A643" s="77"/>
      <c r="B643" s="77"/>
      <c r="C643" s="52"/>
      <c r="D643" s="52"/>
      <c r="E643" s="52"/>
      <c r="F643" s="52"/>
      <c r="G643" s="52"/>
      <c r="H643" s="52"/>
      <c r="I643" s="52"/>
      <c r="J643" s="52"/>
      <c r="K643" s="52"/>
      <c r="L643" s="52"/>
    </row>
    <row r="644">
      <c r="A644" s="77"/>
      <c r="B644" s="77"/>
      <c r="C644" s="52"/>
      <c r="D644" s="52"/>
      <c r="E644" s="52"/>
      <c r="F644" s="52"/>
      <c r="G644" s="52"/>
      <c r="H644" s="52"/>
      <c r="I644" s="52"/>
      <c r="J644" s="52"/>
      <c r="K644" s="52"/>
      <c r="L644" s="52"/>
    </row>
    <row r="645">
      <c r="A645" s="77"/>
      <c r="B645" s="77"/>
      <c r="C645" s="52"/>
      <c r="D645" s="52"/>
      <c r="E645" s="52"/>
      <c r="F645" s="52"/>
      <c r="G645" s="52"/>
      <c r="H645" s="52"/>
      <c r="I645" s="52"/>
      <c r="J645" s="52"/>
      <c r="K645" s="52"/>
      <c r="L645" s="52"/>
    </row>
    <row r="646">
      <c r="A646" s="77"/>
      <c r="B646" s="77"/>
      <c r="C646" s="52"/>
      <c r="D646" s="52"/>
      <c r="E646" s="52"/>
      <c r="F646" s="52"/>
      <c r="G646" s="52"/>
      <c r="H646" s="52"/>
      <c r="I646" s="52"/>
      <c r="J646" s="52"/>
      <c r="K646" s="52"/>
      <c r="L646" s="52"/>
    </row>
    <row r="647">
      <c r="A647" s="77"/>
      <c r="B647" s="77"/>
      <c r="C647" s="52"/>
      <c r="D647" s="52"/>
      <c r="E647" s="52"/>
      <c r="F647" s="52"/>
      <c r="G647" s="52"/>
      <c r="H647" s="52"/>
      <c r="I647" s="52"/>
      <c r="J647" s="52"/>
      <c r="K647" s="52"/>
      <c r="L647" s="52"/>
    </row>
    <row r="648">
      <c r="A648" s="77"/>
      <c r="B648" s="77"/>
      <c r="C648" s="52"/>
      <c r="D648" s="52"/>
      <c r="E648" s="52"/>
      <c r="F648" s="52"/>
      <c r="G648" s="52"/>
      <c r="H648" s="52"/>
      <c r="I648" s="52"/>
      <c r="J648" s="52"/>
      <c r="K648" s="52"/>
      <c r="L648" s="52"/>
    </row>
    <row r="649">
      <c r="A649" s="77"/>
      <c r="B649" s="77"/>
      <c r="C649" s="52"/>
      <c r="D649" s="52"/>
      <c r="E649" s="52"/>
      <c r="F649" s="52"/>
      <c r="G649" s="52"/>
      <c r="H649" s="52"/>
      <c r="I649" s="52"/>
      <c r="J649" s="52"/>
      <c r="K649" s="52"/>
      <c r="L649" s="52"/>
    </row>
    <row r="650">
      <c r="A650" s="77"/>
      <c r="B650" s="77"/>
      <c r="C650" s="52"/>
      <c r="D650" s="52"/>
      <c r="E650" s="52"/>
      <c r="F650" s="52"/>
      <c r="G650" s="52"/>
      <c r="H650" s="52"/>
      <c r="I650" s="52"/>
      <c r="J650" s="52"/>
      <c r="K650" s="52"/>
      <c r="L650" s="52"/>
    </row>
    <row r="651">
      <c r="A651" s="77"/>
      <c r="B651" s="77"/>
      <c r="C651" s="52"/>
      <c r="D651" s="52"/>
      <c r="E651" s="52"/>
      <c r="F651" s="52"/>
      <c r="G651" s="52"/>
      <c r="H651" s="52"/>
      <c r="I651" s="52"/>
      <c r="J651" s="52"/>
      <c r="K651" s="52"/>
      <c r="L651" s="52"/>
    </row>
    <row r="652">
      <c r="A652" s="77"/>
      <c r="B652" s="77"/>
      <c r="C652" s="52"/>
      <c r="D652" s="52"/>
      <c r="E652" s="52"/>
      <c r="F652" s="52"/>
      <c r="G652" s="52"/>
      <c r="H652" s="52"/>
      <c r="I652" s="52"/>
      <c r="J652" s="52"/>
      <c r="K652" s="52"/>
      <c r="L652" s="52"/>
    </row>
    <row r="653">
      <c r="A653" s="77"/>
      <c r="B653" s="77"/>
      <c r="C653" s="52"/>
      <c r="D653" s="52"/>
      <c r="E653" s="52"/>
      <c r="F653" s="52"/>
      <c r="G653" s="52"/>
      <c r="H653" s="52"/>
      <c r="I653" s="52"/>
      <c r="J653" s="52"/>
      <c r="K653" s="52"/>
      <c r="L653" s="52"/>
    </row>
    <row r="654">
      <c r="A654" s="77"/>
      <c r="B654" s="77"/>
      <c r="C654" s="52"/>
      <c r="D654" s="52"/>
      <c r="E654" s="52"/>
      <c r="F654" s="52"/>
      <c r="G654" s="52"/>
      <c r="H654" s="52"/>
      <c r="I654" s="52"/>
      <c r="J654" s="52"/>
      <c r="K654" s="52"/>
      <c r="L654" s="52"/>
    </row>
    <row r="655">
      <c r="A655" s="77"/>
      <c r="B655" s="77"/>
      <c r="C655" s="52"/>
      <c r="D655" s="52"/>
      <c r="E655" s="52"/>
      <c r="F655" s="52"/>
      <c r="G655" s="52"/>
      <c r="H655" s="52"/>
      <c r="I655" s="52"/>
      <c r="J655" s="52"/>
      <c r="K655" s="52"/>
      <c r="L655" s="52"/>
    </row>
    <row r="656">
      <c r="A656" s="77"/>
      <c r="B656" s="77"/>
      <c r="C656" s="52"/>
      <c r="D656" s="52"/>
      <c r="E656" s="52"/>
      <c r="F656" s="52"/>
      <c r="G656" s="52"/>
      <c r="H656" s="52"/>
      <c r="I656" s="52"/>
      <c r="J656" s="52"/>
      <c r="K656" s="52"/>
      <c r="L656" s="52"/>
    </row>
    <row r="657">
      <c r="A657" s="77"/>
      <c r="B657" s="77"/>
      <c r="C657" s="52"/>
      <c r="D657" s="52"/>
      <c r="E657" s="52"/>
      <c r="F657" s="52"/>
      <c r="G657" s="52"/>
      <c r="H657" s="52"/>
      <c r="I657" s="52"/>
      <c r="J657" s="52"/>
      <c r="K657" s="52"/>
      <c r="L657" s="52"/>
    </row>
    <row r="658">
      <c r="A658" s="77"/>
      <c r="B658" s="77"/>
      <c r="C658" s="52"/>
      <c r="D658" s="52"/>
      <c r="E658" s="52"/>
      <c r="F658" s="52"/>
      <c r="G658" s="52"/>
      <c r="H658" s="52"/>
      <c r="I658" s="52"/>
      <c r="J658" s="52"/>
      <c r="K658" s="52"/>
      <c r="L658" s="52"/>
    </row>
    <row r="659">
      <c r="A659" s="77"/>
      <c r="B659" s="77"/>
      <c r="C659" s="52"/>
      <c r="D659" s="52"/>
      <c r="E659" s="52"/>
      <c r="F659" s="52"/>
      <c r="G659" s="52"/>
      <c r="H659" s="52"/>
      <c r="I659" s="52"/>
      <c r="J659" s="52"/>
      <c r="K659" s="52"/>
      <c r="L659" s="52"/>
    </row>
    <row r="660">
      <c r="A660" s="77"/>
      <c r="B660" s="77"/>
      <c r="C660" s="52"/>
      <c r="D660" s="52"/>
      <c r="E660" s="52"/>
      <c r="F660" s="52"/>
      <c r="G660" s="52"/>
      <c r="H660" s="52"/>
      <c r="I660" s="52"/>
      <c r="J660" s="52"/>
      <c r="K660" s="52"/>
      <c r="L660" s="52"/>
    </row>
    <row r="661">
      <c r="A661" s="77"/>
      <c r="B661" s="77"/>
      <c r="C661" s="52"/>
      <c r="D661" s="52"/>
      <c r="E661" s="52"/>
      <c r="F661" s="52"/>
      <c r="G661" s="52"/>
      <c r="H661" s="52"/>
      <c r="I661" s="52"/>
      <c r="J661" s="52"/>
      <c r="K661" s="52"/>
      <c r="L661" s="52"/>
    </row>
    <row r="662">
      <c r="A662" s="77"/>
      <c r="B662" s="77"/>
      <c r="C662" s="52"/>
      <c r="D662" s="52"/>
      <c r="E662" s="52"/>
      <c r="F662" s="52"/>
      <c r="G662" s="52"/>
      <c r="H662" s="52"/>
      <c r="I662" s="52"/>
      <c r="J662" s="52"/>
      <c r="K662" s="52"/>
      <c r="L662" s="52"/>
    </row>
    <row r="663">
      <c r="A663" s="77"/>
      <c r="B663" s="77"/>
      <c r="C663" s="52"/>
      <c r="D663" s="52"/>
      <c r="E663" s="52"/>
      <c r="F663" s="52"/>
      <c r="G663" s="52"/>
      <c r="H663" s="52"/>
      <c r="I663" s="52"/>
      <c r="J663" s="52"/>
      <c r="K663" s="52"/>
      <c r="L663" s="52"/>
    </row>
    <row r="664">
      <c r="A664" s="77"/>
      <c r="B664" s="77"/>
      <c r="C664" s="52"/>
      <c r="D664" s="52"/>
      <c r="E664" s="52"/>
      <c r="F664" s="52"/>
      <c r="G664" s="52"/>
      <c r="H664" s="52"/>
      <c r="I664" s="52"/>
      <c r="J664" s="52"/>
      <c r="K664" s="52"/>
      <c r="L664" s="52"/>
    </row>
    <row r="665">
      <c r="A665" s="77"/>
      <c r="B665" s="77"/>
      <c r="C665" s="52"/>
      <c r="D665" s="52"/>
      <c r="E665" s="52"/>
      <c r="F665" s="52"/>
      <c r="G665" s="52"/>
      <c r="H665" s="52"/>
      <c r="I665" s="52"/>
      <c r="J665" s="52"/>
      <c r="K665" s="52"/>
      <c r="L665" s="52"/>
    </row>
    <row r="666">
      <c r="A666" s="77"/>
      <c r="B666" s="77"/>
      <c r="C666" s="52"/>
      <c r="D666" s="52"/>
      <c r="E666" s="52"/>
      <c r="F666" s="52"/>
      <c r="G666" s="52"/>
      <c r="H666" s="52"/>
      <c r="I666" s="52"/>
      <c r="J666" s="52"/>
      <c r="K666" s="52"/>
      <c r="L666" s="52"/>
    </row>
    <row r="667">
      <c r="A667" s="77"/>
      <c r="B667" s="77"/>
      <c r="C667" s="52"/>
      <c r="D667" s="52"/>
      <c r="E667" s="52"/>
      <c r="F667" s="52"/>
      <c r="G667" s="52"/>
      <c r="H667" s="52"/>
      <c r="I667" s="52"/>
      <c r="J667" s="52"/>
      <c r="K667" s="52"/>
      <c r="L667" s="52"/>
    </row>
    <row r="668">
      <c r="A668" s="77"/>
      <c r="B668" s="77"/>
      <c r="C668" s="52"/>
      <c r="D668" s="52"/>
      <c r="E668" s="52"/>
      <c r="F668" s="52"/>
      <c r="G668" s="52"/>
      <c r="H668" s="52"/>
      <c r="I668" s="52"/>
      <c r="J668" s="52"/>
      <c r="K668" s="52"/>
      <c r="L668" s="52"/>
    </row>
    <row r="669">
      <c r="A669" s="77"/>
      <c r="B669" s="77"/>
      <c r="C669" s="52"/>
      <c r="D669" s="52"/>
      <c r="E669" s="52"/>
      <c r="F669" s="52"/>
      <c r="G669" s="52"/>
      <c r="H669" s="52"/>
      <c r="I669" s="52"/>
      <c r="J669" s="52"/>
      <c r="K669" s="52"/>
      <c r="L669" s="52"/>
    </row>
    <row r="670">
      <c r="A670" s="77"/>
      <c r="B670" s="77"/>
      <c r="C670" s="52"/>
      <c r="D670" s="52"/>
      <c r="E670" s="52"/>
      <c r="F670" s="52"/>
      <c r="G670" s="52"/>
      <c r="H670" s="52"/>
      <c r="I670" s="52"/>
      <c r="J670" s="52"/>
      <c r="K670" s="52"/>
      <c r="L670" s="52"/>
    </row>
    <row r="671">
      <c r="A671" s="77"/>
      <c r="B671" s="77"/>
      <c r="C671" s="52"/>
      <c r="D671" s="52"/>
      <c r="E671" s="52"/>
      <c r="F671" s="52"/>
      <c r="G671" s="52"/>
      <c r="H671" s="52"/>
      <c r="I671" s="52"/>
      <c r="J671" s="52"/>
      <c r="K671" s="52"/>
      <c r="L671" s="52"/>
    </row>
    <row r="672">
      <c r="A672" s="77"/>
      <c r="B672" s="77"/>
      <c r="C672" s="52"/>
      <c r="D672" s="52"/>
      <c r="E672" s="52"/>
      <c r="F672" s="52"/>
      <c r="G672" s="52"/>
      <c r="H672" s="52"/>
      <c r="I672" s="52"/>
      <c r="J672" s="52"/>
      <c r="K672" s="52"/>
      <c r="L672" s="52"/>
    </row>
    <row r="673">
      <c r="A673" s="77"/>
      <c r="B673" s="77"/>
      <c r="C673" s="52"/>
      <c r="D673" s="52"/>
      <c r="E673" s="52"/>
      <c r="F673" s="52"/>
      <c r="G673" s="52"/>
      <c r="H673" s="52"/>
      <c r="I673" s="52"/>
      <c r="J673" s="52"/>
      <c r="K673" s="52"/>
      <c r="L673" s="52"/>
    </row>
    <row r="674">
      <c r="A674" s="77"/>
      <c r="B674" s="77"/>
      <c r="C674" s="52"/>
      <c r="D674" s="52"/>
      <c r="E674" s="52"/>
      <c r="F674" s="52"/>
      <c r="G674" s="52"/>
      <c r="H674" s="52"/>
      <c r="I674" s="52"/>
      <c r="J674" s="52"/>
      <c r="K674" s="52"/>
      <c r="L674" s="52"/>
    </row>
    <row r="675">
      <c r="A675" s="77"/>
      <c r="B675" s="77"/>
      <c r="C675" s="52"/>
      <c r="D675" s="52"/>
      <c r="E675" s="52"/>
      <c r="F675" s="52"/>
      <c r="G675" s="52"/>
      <c r="H675" s="52"/>
      <c r="I675" s="52"/>
      <c r="J675" s="52"/>
      <c r="K675" s="52"/>
      <c r="L675" s="52"/>
    </row>
    <row r="676">
      <c r="A676" s="77"/>
      <c r="B676" s="77"/>
      <c r="C676" s="52"/>
      <c r="D676" s="52"/>
      <c r="E676" s="52"/>
      <c r="F676" s="52"/>
      <c r="G676" s="52"/>
      <c r="H676" s="52"/>
      <c r="I676" s="52"/>
      <c r="J676" s="52"/>
      <c r="K676" s="52"/>
      <c r="L676" s="52"/>
    </row>
    <row r="677">
      <c r="A677" s="77"/>
      <c r="B677" s="77"/>
      <c r="C677" s="52"/>
      <c r="D677" s="52"/>
      <c r="E677" s="52"/>
      <c r="F677" s="52"/>
      <c r="G677" s="52"/>
      <c r="H677" s="52"/>
      <c r="I677" s="52"/>
      <c r="J677" s="52"/>
      <c r="K677" s="52"/>
      <c r="L677" s="52"/>
    </row>
    <row r="678">
      <c r="A678" s="77"/>
      <c r="B678" s="77"/>
      <c r="C678" s="52"/>
      <c r="D678" s="52"/>
      <c r="E678" s="52"/>
      <c r="F678" s="52"/>
      <c r="G678" s="52"/>
      <c r="H678" s="52"/>
      <c r="I678" s="52"/>
      <c r="J678" s="52"/>
      <c r="K678" s="52"/>
      <c r="L678" s="52"/>
    </row>
    <row r="679">
      <c r="A679" s="77"/>
      <c r="B679" s="77"/>
      <c r="C679" s="52"/>
      <c r="D679" s="52"/>
      <c r="E679" s="52"/>
      <c r="F679" s="52"/>
      <c r="G679" s="52"/>
      <c r="H679" s="52"/>
      <c r="I679" s="52"/>
      <c r="J679" s="52"/>
      <c r="K679" s="52"/>
      <c r="L679" s="52"/>
    </row>
    <row r="680">
      <c r="A680" s="77"/>
      <c r="B680" s="77"/>
      <c r="C680" s="52"/>
      <c r="D680" s="52"/>
      <c r="E680" s="52"/>
      <c r="F680" s="52"/>
      <c r="G680" s="52"/>
      <c r="H680" s="52"/>
      <c r="I680" s="52"/>
      <c r="J680" s="52"/>
      <c r="K680" s="52"/>
      <c r="L680" s="52"/>
    </row>
    <row r="681">
      <c r="A681" s="77"/>
      <c r="B681" s="77"/>
      <c r="C681" s="52"/>
      <c r="D681" s="52"/>
      <c r="E681" s="52"/>
      <c r="F681" s="52"/>
      <c r="G681" s="52"/>
      <c r="H681" s="52"/>
      <c r="I681" s="52"/>
      <c r="J681" s="52"/>
      <c r="K681" s="52"/>
      <c r="L681" s="52"/>
    </row>
    <row r="682">
      <c r="A682" s="77"/>
      <c r="B682" s="77"/>
      <c r="C682" s="52"/>
      <c r="D682" s="52"/>
      <c r="E682" s="52"/>
      <c r="F682" s="52"/>
      <c r="G682" s="52"/>
      <c r="H682" s="52"/>
      <c r="I682" s="52"/>
      <c r="J682" s="52"/>
      <c r="K682" s="52"/>
      <c r="L682" s="52"/>
    </row>
    <row r="683">
      <c r="A683" s="77"/>
      <c r="B683" s="77"/>
      <c r="C683" s="52"/>
      <c r="D683" s="52"/>
      <c r="E683" s="52"/>
      <c r="F683" s="52"/>
      <c r="G683" s="52"/>
      <c r="H683" s="52"/>
      <c r="I683" s="52"/>
      <c r="J683" s="52"/>
      <c r="K683" s="52"/>
      <c r="L683" s="52"/>
    </row>
    <row r="684">
      <c r="A684" s="77"/>
      <c r="B684" s="77"/>
      <c r="C684" s="52"/>
      <c r="D684" s="52"/>
      <c r="E684" s="52"/>
      <c r="F684" s="52"/>
      <c r="G684" s="52"/>
      <c r="H684" s="52"/>
      <c r="I684" s="52"/>
      <c r="J684" s="52"/>
      <c r="K684" s="52"/>
      <c r="L684" s="52"/>
    </row>
    <row r="685">
      <c r="A685" s="77"/>
      <c r="B685" s="77"/>
      <c r="C685" s="52"/>
      <c r="D685" s="52"/>
      <c r="E685" s="52"/>
      <c r="F685" s="52"/>
      <c r="G685" s="52"/>
      <c r="H685" s="52"/>
      <c r="I685" s="52"/>
      <c r="J685" s="52"/>
      <c r="K685" s="52"/>
      <c r="L685" s="52"/>
    </row>
    <row r="686">
      <c r="A686" s="77"/>
      <c r="B686" s="77"/>
      <c r="C686" s="52"/>
      <c r="D686" s="52"/>
      <c r="E686" s="52"/>
      <c r="F686" s="52"/>
      <c r="G686" s="52"/>
      <c r="H686" s="52"/>
      <c r="I686" s="52"/>
      <c r="J686" s="52"/>
      <c r="K686" s="52"/>
      <c r="L686" s="52"/>
    </row>
    <row r="687">
      <c r="A687" s="77"/>
      <c r="B687" s="77"/>
      <c r="C687" s="52"/>
      <c r="D687" s="52"/>
      <c r="E687" s="52"/>
      <c r="F687" s="52"/>
      <c r="G687" s="52"/>
      <c r="H687" s="52"/>
      <c r="I687" s="52"/>
      <c r="J687" s="52"/>
      <c r="K687" s="52"/>
      <c r="L687" s="52"/>
    </row>
    <row r="688">
      <c r="A688" s="77"/>
      <c r="B688" s="77"/>
      <c r="C688" s="52"/>
      <c r="D688" s="52"/>
      <c r="E688" s="52"/>
      <c r="F688" s="52"/>
      <c r="G688" s="52"/>
      <c r="H688" s="52"/>
      <c r="I688" s="52"/>
      <c r="J688" s="52"/>
      <c r="K688" s="52"/>
      <c r="L688" s="52"/>
    </row>
    <row r="689">
      <c r="A689" s="77"/>
      <c r="B689" s="77"/>
      <c r="C689" s="52"/>
      <c r="D689" s="52"/>
      <c r="E689" s="52"/>
      <c r="F689" s="52"/>
      <c r="G689" s="52"/>
      <c r="H689" s="52"/>
      <c r="I689" s="52"/>
      <c r="J689" s="52"/>
      <c r="K689" s="52"/>
      <c r="L689" s="52"/>
    </row>
    <row r="690">
      <c r="A690" s="77"/>
      <c r="B690" s="77"/>
      <c r="C690" s="52"/>
      <c r="D690" s="52"/>
      <c r="E690" s="52"/>
      <c r="F690" s="52"/>
      <c r="G690" s="52"/>
      <c r="H690" s="52"/>
      <c r="I690" s="52"/>
      <c r="J690" s="52"/>
      <c r="K690" s="52"/>
      <c r="L690" s="52"/>
    </row>
    <row r="691">
      <c r="A691" s="77"/>
      <c r="B691" s="77"/>
      <c r="C691" s="52"/>
      <c r="D691" s="52"/>
      <c r="E691" s="52"/>
      <c r="F691" s="52"/>
      <c r="G691" s="52"/>
      <c r="H691" s="52"/>
      <c r="I691" s="52"/>
      <c r="J691" s="52"/>
      <c r="K691" s="52"/>
      <c r="L691" s="52"/>
    </row>
    <row r="692">
      <c r="A692" s="77"/>
      <c r="B692" s="77"/>
      <c r="C692" s="52"/>
      <c r="D692" s="52"/>
      <c r="E692" s="52"/>
      <c r="F692" s="52"/>
      <c r="G692" s="52"/>
      <c r="H692" s="52"/>
      <c r="I692" s="52"/>
      <c r="J692" s="52"/>
      <c r="K692" s="52"/>
      <c r="L692" s="52"/>
    </row>
    <row r="693">
      <c r="A693" s="77"/>
      <c r="B693" s="77"/>
      <c r="C693" s="52"/>
      <c r="D693" s="52"/>
      <c r="E693" s="52"/>
      <c r="F693" s="52"/>
      <c r="G693" s="52"/>
      <c r="H693" s="52"/>
      <c r="I693" s="52"/>
      <c r="J693" s="52"/>
      <c r="K693" s="52"/>
      <c r="L693" s="52"/>
    </row>
    <row r="694">
      <c r="A694" s="77"/>
      <c r="B694" s="77"/>
      <c r="C694" s="52"/>
      <c r="D694" s="52"/>
      <c r="E694" s="52"/>
      <c r="F694" s="52"/>
      <c r="G694" s="52"/>
      <c r="H694" s="52"/>
      <c r="I694" s="52"/>
      <c r="J694" s="52"/>
      <c r="K694" s="52"/>
      <c r="L694" s="52"/>
    </row>
    <row r="695">
      <c r="A695" s="77"/>
      <c r="B695" s="77"/>
      <c r="C695" s="52"/>
      <c r="D695" s="52"/>
      <c r="E695" s="52"/>
      <c r="F695" s="52"/>
      <c r="G695" s="52"/>
      <c r="H695" s="52"/>
      <c r="I695" s="52"/>
      <c r="J695" s="52"/>
      <c r="K695" s="52"/>
      <c r="L695" s="52"/>
    </row>
    <row r="696">
      <c r="A696" s="77"/>
      <c r="B696" s="77"/>
      <c r="C696" s="52"/>
      <c r="D696" s="52"/>
      <c r="E696" s="52"/>
      <c r="F696" s="52"/>
      <c r="G696" s="52"/>
      <c r="H696" s="52"/>
      <c r="I696" s="52"/>
      <c r="J696" s="52"/>
      <c r="K696" s="52"/>
      <c r="L696" s="52"/>
    </row>
    <row r="697">
      <c r="A697" s="77"/>
      <c r="B697" s="77"/>
      <c r="C697" s="52"/>
      <c r="D697" s="52"/>
      <c r="E697" s="52"/>
      <c r="F697" s="52"/>
      <c r="G697" s="52"/>
      <c r="H697" s="52"/>
      <c r="I697" s="52"/>
      <c r="J697" s="52"/>
      <c r="K697" s="52"/>
      <c r="L697" s="52"/>
    </row>
    <row r="698">
      <c r="A698" s="77"/>
      <c r="B698" s="77"/>
      <c r="C698" s="52"/>
      <c r="D698" s="52"/>
      <c r="E698" s="52"/>
      <c r="F698" s="52"/>
      <c r="G698" s="52"/>
      <c r="H698" s="52"/>
      <c r="I698" s="52"/>
      <c r="J698" s="52"/>
      <c r="K698" s="52"/>
      <c r="L698" s="52"/>
    </row>
    <row r="699">
      <c r="A699" s="77"/>
      <c r="B699" s="77"/>
      <c r="C699" s="52"/>
      <c r="D699" s="52"/>
      <c r="E699" s="52"/>
      <c r="F699" s="52"/>
      <c r="G699" s="52"/>
      <c r="H699" s="52"/>
      <c r="I699" s="52"/>
      <c r="J699" s="52"/>
      <c r="K699" s="52"/>
      <c r="L699" s="52"/>
    </row>
    <row r="700">
      <c r="A700" s="77"/>
      <c r="B700" s="77"/>
      <c r="C700" s="52"/>
      <c r="D700" s="52"/>
      <c r="E700" s="52"/>
      <c r="F700" s="52"/>
      <c r="G700" s="52"/>
      <c r="H700" s="52"/>
      <c r="I700" s="52"/>
      <c r="J700" s="52"/>
      <c r="K700" s="52"/>
      <c r="L700" s="52"/>
    </row>
    <row r="701">
      <c r="A701" s="77"/>
      <c r="B701" s="77"/>
      <c r="C701" s="52"/>
      <c r="D701" s="52"/>
      <c r="E701" s="52"/>
      <c r="F701" s="52"/>
      <c r="G701" s="52"/>
      <c r="H701" s="52"/>
      <c r="I701" s="52"/>
      <c r="J701" s="52"/>
      <c r="K701" s="52"/>
      <c r="L701" s="52"/>
    </row>
    <row r="702">
      <c r="A702" s="77"/>
      <c r="B702" s="77"/>
      <c r="C702" s="52"/>
      <c r="D702" s="52"/>
      <c r="E702" s="52"/>
      <c r="F702" s="52"/>
      <c r="G702" s="52"/>
      <c r="H702" s="52"/>
      <c r="I702" s="52"/>
      <c r="J702" s="52"/>
      <c r="K702" s="52"/>
      <c r="L702" s="52"/>
    </row>
    <row r="703">
      <c r="A703" s="77"/>
      <c r="B703" s="77"/>
      <c r="C703" s="52"/>
      <c r="D703" s="52"/>
      <c r="E703" s="52"/>
      <c r="F703" s="52"/>
      <c r="G703" s="52"/>
      <c r="H703" s="52"/>
      <c r="I703" s="52"/>
      <c r="J703" s="52"/>
      <c r="K703" s="52"/>
      <c r="L703" s="52"/>
    </row>
    <row r="704">
      <c r="A704" s="77"/>
      <c r="B704" s="77"/>
      <c r="C704" s="52"/>
      <c r="D704" s="52"/>
      <c r="E704" s="52"/>
      <c r="F704" s="52"/>
      <c r="G704" s="52"/>
      <c r="H704" s="52"/>
      <c r="I704" s="52"/>
      <c r="J704" s="52"/>
      <c r="K704" s="52"/>
      <c r="L704" s="52"/>
    </row>
    <row r="705">
      <c r="A705" s="77"/>
      <c r="B705" s="77"/>
      <c r="C705" s="52"/>
      <c r="D705" s="52"/>
      <c r="E705" s="52"/>
      <c r="F705" s="52"/>
      <c r="G705" s="52"/>
      <c r="H705" s="52"/>
      <c r="I705" s="52"/>
      <c r="J705" s="52"/>
      <c r="K705" s="52"/>
      <c r="L705" s="52"/>
    </row>
    <row r="706">
      <c r="A706" s="77"/>
      <c r="B706" s="77"/>
      <c r="C706" s="52"/>
      <c r="D706" s="52"/>
      <c r="E706" s="52"/>
      <c r="F706" s="52"/>
      <c r="G706" s="52"/>
      <c r="H706" s="52"/>
      <c r="I706" s="52"/>
      <c r="J706" s="52"/>
      <c r="K706" s="52"/>
      <c r="L706" s="52"/>
    </row>
    <row r="707">
      <c r="A707" s="77"/>
      <c r="B707" s="77"/>
      <c r="C707" s="52"/>
      <c r="D707" s="52"/>
      <c r="E707" s="52"/>
      <c r="F707" s="52"/>
      <c r="G707" s="52"/>
      <c r="H707" s="52"/>
      <c r="I707" s="52"/>
      <c r="J707" s="52"/>
      <c r="K707" s="52"/>
      <c r="L707" s="52"/>
    </row>
    <row r="708">
      <c r="A708" s="77"/>
      <c r="B708" s="77"/>
      <c r="C708" s="52"/>
      <c r="D708" s="52"/>
      <c r="E708" s="52"/>
      <c r="F708" s="52"/>
      <c r="G708" s="52"/>
      <c r="H708" s="52"/>
      <c r="I708" s="52"/>
      <c r="J708" s="52"/>
      <c r="K708" s="52"/>
      <c r="L708" s="52"/>
    </row>
    <row r="709">
      <c r="A709" s="77"/>
      <c r="B709" s="77"/>
      <c r="C709" s="52"/>
      <c r="D709" s="52"/>
      <c r="E709" s="52"/>
      <c r="F709" s="52"/>
      <c r="G709" s="52"/>
      <c r="H709" s="52"/>
      <c r="I709" s="52"/>
      <c r="J709" s="52"/>
      <c r="K709" s="52"/>
      <c r="L709" s="52"/>
    </row>
    <row r="710">
      <c r="A710" s="77"/>
      <c r="B710" s="77"/>
      <c r="C710" s="52"/>
      <c r="D710" s="52"/>
      <c r="E710" s="52"/>
      <c r="F710" s="52"/>
      <c r="G710" s="52"/>
      <c r="H710" s="52"/>
      <c r="I710" s="52"/>
      <c r="J710" s="52"/>
      <c r="K710" s="52"/>
      <c r="L710" s="52"/>
    </row>
    <row r="711">
      <c r="A711" s="77"/>
      <c r="B711" s="77"/>
      <c r="C711" s="52"/>
      <c r="D711" s="52"/>
      <c r="E711" s="52"/>
      <c r="F711" s="52"/>
      <c r="G711" s="52"/>
      <c r="H711" s="52"/>
      <c r="I711" s="52"/>
      <c r="J711" s="52"/>
      <c r="K711" s="52"/>
      <c r="L711" s="52"/>
    </row>
    <row r="712">
      <c r="A712" s="77"/>
      <c r="B712" s="77"/>
      <c r="C712" s="52"/>
      <c r="D712" s="52"/>
      <c r="E712" s="52"/>
      <c r="F712" s="52"/>
      <c r="G712" s="52"/>
      <c r="H712" s="52"/>
      <c r="I712" s="52"/>
      <c r="J712" s="52"/>
      <c r="K712" s="52"/>
      <c r="L712" s="52"/>
    </row>
    <row r="713">
      <c r="A713" s="77"/>
      <c r="B713" s="77"/>
      <c r="C713" s="52"/>
      <c r="D713" s="52"/>
      <c r="E713" s="52"/>
      <c r="F713" s="52"/>
      <c r="G713" s="52"/>
      <c r="H713" s="52"/>
      <c r="I713" s="52"/>
      <c r="J713" s="52"/>
      <c r="K713" s="52"/>
      <c r="L713" s="52"/>
    </row>
    <row r="714">
      <c r="A714" s="77"/>
      <c r="B714" s="77"/>
      <c r="C714" s="52"/>
      <c r="D714" s="52"/>
      <c r="E714" s="52"/>
      <c r="F714" s="52"/>
      <c r="G714" s="52"/>
      <c r="H714" s="52"/>
      <c r="I714" s="52"/>
      <c r="J714" s="52"/>
      <c r="K714" s="52"/>
      <c r="L714" s="52"/>
    </row>
    <row r="715">
      <c r="A715" s="77"/>
      <c r="B715" s="77"/>
      <c r="C715" s="52"/>
      <c r="D715" s="52"/>
      <c r="E715" s="52"/>
      <c r="F715" s="52"/>
      <c r="G715" s="52"/>
      <c r="H715" s="52"/>
      <c r="I715" s="52"/>
      <c r="J715" s="52"/>
      <c r="K715" s="52"/>
      <c r="L715" s="52"/>
    </row>
    <row r="716">
      <c r="A716" s="77"/>
      <c r="B716" s="77"/>
      <c r="C716" s="52"/>
      <c r="D716" s="52"/>
      <c r="E716" s="52"/>
      <c r="F716" s="52"/>
      <c r="G716" s="52"/>
      <c r="H716" s="52"/>
      <c r="I716" s="52"/>
      <c r="J716" s="52"/>
      <c r="K716" s="52"/>
      <c r="L716" s="52"/>
    </row>
    <row r="717">
      <c r="A717" s="77"/>
      <c r="B717" s="77"/>
      <c r="C717" s="52"/>
      <c r="D717" s="52"/>
      <c r="E717" s="52"/>
      <c r="F717" s="52"/>
      <c r="G717" s="52"/>
      <c r="H717" s="52"/>
      <c r="I717" s="52"/>
      <c r="J717" s="52"/>
      <c r="K717" s="52"/>
      <c r="L717" s="52"/>
    </row>
    <row r="718">
      <c r="A718" s="77"/>
      <c r="B718" s="77"/>
      <c r="C718" s="52"/>
      <c r="D718" s="52"/>
      <c r="E718" s="52"/>
      <c r="F718" s="52"/>
      <c r="G718" s="52"/>
      <c r="H718" s="52"/>
      <c r="I718" s="52"/>
      <c r="J718" s="52"/>
      <c r="K718" s="52"/>
      <c r="L718" s="52"/>
    </row>
    <row r="719">
      <c r="A719" s="77"/>
      <c r="B719" s="77"/>
      <c r="C719" s="52"/>
      <c r="D719" s="52"/>
      <c r="E719" s="52"/>
      <c r="F719" s="52"/>
      <c r="G719" s="52"/>
      <c r="H719" s="52"/>
      <c r="I719" s="52"/>
      <c r="J719" s="52"/>
      <c r="K719" s="52"/>
      <c r="L719" s="52"/>
    </row>
    <row r="720">
      <c r="A720" s="77"/>
      <c r="B720" s="77"/>
      <c r="C720" s="52"/>
      <c r="D720" s="52"/>
      <c r="E720" s="52"/>
      <c r="F720" s="52"/>
      <c r="G720" s="52"/>
      <c r="H720" s="52"/>
      <c r="I720" s="52"/>
      <c r="J720" s="52"/>
      <c r="K720" s="52"/>
      <c r="L720" s="52"/>
    </row>
    <row r="721">
      <c r="A721" s="77"/>
      <c r="B721" s="77"/>
      <c r="C721" s="52"/>
      <c r="D721" s="52"/>
      <c r="E721" s="52"/>
      <c r="F721" s="52"/>
      <c r="G721" s="52"/>
      <c r="H721" s="52"/>
      <c r="I721" s="52"/>
      <c r="J721" s="52"/>
      <c r="K721" s="52"/>
      <c r="L721" s="52"/>
    </row>
    <row r="722">
      <c r="A722" s="77"/>
      <c r="B722" s="77"/>
      <c r="C722" s="52"/>
      <c r="D722" s="52"/>
      <c r="E722" s="52"/>
      <c r="F722" s="52"/>
      <c r="G722" s="52"/>
      <c r="H722" s="52"/>
      <c r="I722" s="52"/>
      <c r="J722" s="52"/>
      <c r="K722" s="52"/>
      <c r="L722" s="52"/>
    </row>
    <row r="723">
      <c r="A723" s="77"/>
      <c r="B723" s="77"/>
      <c r="C723" s="52"/>
      <c r="D723" s="52"/>
      <c r="E723" s="52"/>
      <c r="F723" s="52"/>
      <c r="G723" s="52"/>
      <c r="H723" s="52"/>
      <c r="I723" s="52"/>
      <c r="J723" s="52"/>
      <c r="K723" s="52"/>
      <c r="L723" s="52"/>
    </row>
    <row r="724">
      <c r="A724" s="77"/>
      <c r="B724" s="77"/>
      <c r="C724" s="52"/>
      <c r="D724" s="52"/>
      <c r="E724" s="52"/>
      <c r="F724" s="52"/>
      <c r="G724" s="52"/>
      <c r="H724" s="52"/>
      <c r="I724" s="52"/>
      <c r="J724" s="52"/>
      <c r="K724" s="52"/>
      <c r="L724" s="52"/>
    </row>
    <row r="725">
      <c r="A725" s="77"/>
      <c r="B725" s="77"/>
      <c r="C725" s="52"/>
      <c r="D725" s="52"/>
      <c r="E725" s="52"/>
      <c r="F725" s="52"/>
      <c r="G725" s="52"/>
      <c r="H725" s="52"/>
      <c r="I725" s="52"/>
      <c r="J725" s="52"/>
      <c r="K725" s="52"/>
      <c r="L725" s="52"/>
    </row>
    <row r="726">
      <c r="A726" s="77"/>
      <c r="B726" s="77"/>
      <c r="C726" s="52"/>
      <c r="D726" s="52"/>
      <c r="E726" s="52"/>
      <c r="F726" s="52"/>
      <c r="G726" s="52"/>
      <c r="H726" s="52"/>
      <c r="I726" s="52"/>
      <c r="J726" s="52"/>
      <c r="K726" s="52"/>
      <c r="L726" s="52"/>
    </row>
    <row r="727">
      <c r="A727" s="77"/>
      <c r="B727" s="77"/>
      <c r="C727" s="52"/>
      <c r="D727" s="52"/>
      <c r="E727" s="52"/>
      <c r="F727" s="52"/>
      <c r="G727" s="52"/>
      <c r="H727" s="52"/>
      <c r="I727" s="52"/>
      <c r="J727" s="52"/>
      <c r="K727" s="52"/>
      <c r="L727" s="52"/>
    </row>
    <row r="728">
      <c r="A728" s="77"/>
      <c r="B728" s="77"/>
      <c r="C728" s="52"/>
      <c r="D728" s="52"/>
      <c r="E728" s="52"/>
      <c r="F728" s="52"/>
      <c r="G728" s="52"/>
      <c r="H728" s="52"/>
      <c r="I728" s="52"/>
      <c r="J728" s="52"/>
      <c r="K728" s="52"/>
      <c r="L728" s="52"/>
    </row>
    <row r="729">
      <c r="A729" s="77"/>
      <c r="B729" s="77"/>
      <c r="C729" s="52"/>
      <c r="D729" s="52"/>
      <c r="E729" s="52"/>
      <c r="F729" s="52"/>
      <c r="G729" s="52"/>
      <c r="H729" s="52"/>
      <c r="I729" s="52"/>
      <c r="J729" s="52"/>
      <c r="K729" s="52"/>
      <c r="L729" s="52"/>
    </row>
    <row r="730">
      <c r="A730" s="77"/>
      <c r="B730" s="77"/>
      <c r="C730" s="52"/>
      <c r="D730" s="52"/>
      <c r="E730" s="52"/>
      <c r="F730" s="52"/>
      <c r="G730" s="52"/>
      <c r="H730" s="52"/>
      <c r="I730" s="52"/>
      <c r="J730" s="52"/>
      <c r="K730" s="52"/>
      <c r="L730" s="52"/>
    </row>
    <row r="731">
      <c r="A731" s="77"/>
      <c r="B731" s="77"/>
      <c r="C731" s="52"/>
      <c r="D731" s="52"/>
      <c r="E731" s="52"/>
      <c r="F731" s="52"/>
      <c r="G731" s="52"/>
      <c r="H731" s="52"/>
      <c r="I731" s="52"/>
      <c r="J731" s="52"/>
      <c r="K731" s="52"/>
      <c r="L731" s="52"/>
    </row>
    <row r="732">
      <c r="A732" s="77"/>
      <c r="B732" s="77"/>
      <c r="C732" s="52"/>
      <c r="D732" s="52"/>
      <c r="E732" s="52"/>
      <c r="F732" s="52"/>
      <c r="G732" s="52"/>
      <c r="H732" s="52"/>
      <c r="I732" s="52"/>
      <c r="J732" s="52"/>
      <c r="K732" s="52"/>
      <c r="L732" s="52"/>
    </row>
    <row r="733">
      <c r="A733" s="77"/>
      <c r="B733" s="77"/>
      <c r="C733" s="52"/>
      <c r="D733" s="52"/>
      <c r="E733" s="52"/>
      <c r="F733" s="52"/>
      <c r="G733" s="52"/>
      <c r="H733" s="52"/>
      <c r="I733" s="52"/>
      <c r="J733" s="52"/>
      <c r="K733" s="52"/>
      <c r="L733" s="52"/>
    </row>
    <row r="734">
      <c r="A734" s="77"/>
      <c r="B734" s="77"/>
      <c r="C734" s="52"/>
      <c r="D734" s="52"/>
      <c r="E734" s="52"/>
      <c r="F734" s="52"/>
      <c r="G734" s="52"/>
      <c r="H734" s="52"/>
      <c r="I734" s="52"/>
      <c r="J734" s="52"/>
      <c r="K734" s="52"/>
      <c r="L734" s="52"/>
    </row>
    <row r="735">
      <c r="A735" s="77"/>
      <c r="B735" s="77"/>
      <c r="C735" s="52"/>
      <c r="D735" s="52"/>
      <c r="E735" s="52"/>
      <c r="F735" s="52"/>
      <c r="G735" s="52"/>
      <c r="H735" s="52"/>
      <c r="I735" s="52"/>
      <c r="J735" s="52"/>
      <c r="K735" s="52"/>
      <c r="L735" s="52"/>
    </row>
    <row r="736">
      <c r="A736" s="77"/>
      <c r="B736" s="77"/>
      <c r="C736" s="52"/>
      <c r="D736" s="52"/>
      <c r="E736" s="52"/>
      <c r="F736" s="52"/>
      <c r="G736" s="52"/>
      <c r="H736" s="52"/>
      <c r="I736" s="52"/>
      <c r="J736" s="52"/>
      <c r="K736" s="52"/>
      <c r="L736" s="52"/>
    </row>
    <row r="737">
      <c r="A737" s="77"/>
      <c r="B737" s="77"/>
      <c r="C737" s="52"/>
      <c r="D737" s="52"/>
      <c r="E737" s="52"/>
      <c r="F737" s="52"/>
      <c r="G737" s="52"/>
      <c r="H737" s="52"/>
      <c r="I737" s="52"/>
      <c r="J737" s="52"/>
      <c r="K737" s="52"/>
      <c r="L737" s="52"/>
    </row>
    <row r="738">
      <c r="A738" s="77"/>
      <c r="B738" s="77"/>
      <c r="C738" s="52"/>
      <c r="D738" s="52"/>
      <c r="E738" s="52"/>
      <c r="F738" s="52"/>
      <c r="G738" s="52"/>
      <c r="H738" s="52"/>
      <c r="I738" s="52"/>
      <c r="J738" s="52"/>
      <c r="K738" s="52"/>
      <c r="L738" s="52"/>
    </row>
    <row r="739">
      <c r="A739" s="77"/>
      <c r="B739" s="77"/>
      <c r="C739" s="52"/>
      <c r="D739" s="52"/>
      <c r="E739" s="52"/>
      <c r="F739" s="52"/>
      <c r="G739" s="52"/>
      <c r="H739" s="52"/>
      <c r="I739" s="52"/>
      <c r="J739" s="52"/>
      <c r="K739" s="52"/>
      <c r="L739" s="52"/>
    </row>
    <row r="740">
      <c r="A740" s="77"/>
      <c r="B740" s="77"/>
      <c r="C740" s="52"/>
      <c r="D740" s="52"/>
      <c r="E740" s="52"/>
      <c r="F740" s="52"/>
      <c r="G740" s="52"/>
      <c r="H740" s="52"/>
      <c r="I740" s="52"/>
      <c r="J740" s="52"/>
      <c r="K740" s="52"/>
      <c r="L740" s="52"/>
    </row>
    <row r="741">
      <c r="A741" s="77"/>
      <c r="B741" s="77"/>
      <c r="C741" s="52"/>
      <c r="D741" s="52"/>
      <c r="E741" s="52"/>
      <c r="F741" s="52"/>
      <c r="G741" s="52"/>
      <c r="H741" s="52"/>
      <c r="I741" s="52"/>
      <c r="J741" s="52"/>
      <c r="K741" s="52"/>
      <c r="L741" s="52"/>
    </row>
    <row r="742">
      <c r="A742" s="77"/>
      <c r="B742" s="77"/>
      <c r="C742" s="52"/>
      <c r="D742" s="52"/>
      <c r="E742" s="52"/>
      <c r="F742" s="52"/>
      <c r="G742" s="52"/>
      <c r="H742" s="52"/>
      <c r="I742" s="52"/>
      <c r="J742" s="52"/>
      <c r="K742" s="52"/>
      <c r="L742" s="52"/>
    </row>
    <row r="743">
      <c r="A743" s="77"/>
      <c r="B743" s="77"/>
      <c r="C743" s="52"/>
      <c r="D743" s="52"/>
      <c r="E743" s="52"/>
      <c r="F743" s="52"/>
      <c r="G743" s="52"/>
      <c r="H743" s="52"/>
      <c r="I743" s="52"/>
      <c r="J743" s="52"/>
      <c r="K743" s="52"/>
      <c r="L743" s="52"/>
    </row>
    <row r="744">
      <c r="A744" s="77"/>
      <c r="B744" s="77"/>
      <c r="C744" s="52"/>
      <c r="D744" s="52"/>
      <c r="E744" s="52"/>
      <c r="F744" s="52"/>
      <c r="G744" s="52"/>
      <c r="H744" s="52"/>
      <c r="I744" s="52"/>
      <c r="J744" s="52"/>
      <c r="K744" s="52"/>
      <c r="L744" s="52"/>
    </row>
    <row r="745">
      <c r="A745" s="77"/>
      <c r="B745" s="77"/>
      <c r="C745" s="52"/>
      <c r="D745" s="52"/>
      <c r="E745" s="52"/>
      <c r="F745" s="52"/>
      <c r="G745" s="52"/>
      <c r="H745" s="52"/>
      <c r="I745" s="52"/>
      <c r="J745" s="52"/>
      <c r="K745" s="52"/>
      <c r="L745" s="52"/>
    </row>
    <row r="746">
      <c r="A746" s="77"/>
      <c r="B746" s="77"/>
      <c r="C746" s="52"/>
      <c r="D746" s="52"/>
      <c r="E746" s="52"/>
      <c r="F746" s="52"/>
      <c r="G746" s="52"/>
      <c r="H746" s="52"/>
      <c r="I746" s="52"/>
      <c r="J746" s="52"/>
      <c r="K746" s="52"/>
      <c r="L746" s="52"/>
    </row>
    <row r="747">
      <c r="A747" s="77"/>
      <c r="B747" s="77"/>
      <c r="C747" s="52"/>
      <c r="D747" s="52"/>
      <c r="E747" s="52"/>
      <c r="F747" s="52"/>
      <c r="G747" s="52"/>
      <c r="H747" s="52"/>
      <c r="I747" s="52"/>
      <c r="J747" s="52"/>
      <c r="K747" s="52"/>
      <c r="L747" s="52"/>
    </row>
    <row r="748">
      <c r="A748" s="77"/>
      <c r="B748" s="77"/>
      <c r="C748" s="52"/>
      <c r="D748" s="52"/>
      <c r="E748" s="52"/>
      <c r="F748" s="52"/>
      <c r="G748" s="52"/>
      <c r="H748" s="52"/>
      <c r="I748" s="52"/>
      <c r="J748" s="52"/>
      <c r="K748" s="52"/>
      <c r="L748" s="52"/>
    </row>
    <row r="749">
      <c r="A749" s="77"/>
      <c r="B749" s="77"/>
      <c r="C749" s="52"/>
      <c r="D749" s="52"/>
      <c r="E749" s="52"/>
      <c r="F749" s="52"/>
      <c r="G749" s="52"/>
      <c r="H749" s="52"/>
      <c r="I749" s="52"/>
      <c r="J749" s="52"/>
      <c r="K749" s="52"/>
      <c r="L749" s="52"/>
    </row>
    <row r="750">
      <c r="A750" s="77"/>
      <c r="B750" s="77"/>
      <c r="C750" s="52"/>
      <c r="D750" s="52"/>
      <c r="E750" s="52"/>
      <c r="F750" s="52"/>
      <c r="G750" s="52"/>
      <c r="H750" s="52"/>
      <c r="I750" s="52"/>
      <c r="J750" s="52"/>
      <c r="K750" s="52"/>
      <c r="L750" s="52"/>
    </row>
    <row r="751">
      <c r="A751" s="77"/>
      <c r="B751" s="77"/>
      <c r="C751" s="52"/>
      <c r="D751" s="52"/>
      <c r="E751" s="52"/>
      <c r="F751" s="52"/>
      <c r="G751" s="52"/>
      <c r="H751" s="52"/>
      <c r="I751" s="52"/>
      <c r="J751" s="52"/>
      <c r="K751" s="52"/>
      <c r="L751" s="52"/>
    </row>
    <row r="752">
      <c r="A752" s="77"/>
      <c r="B752" s="77"/>
      <c r="C752" s="52"/>
      <c r="D752" s="52"/>
      <c r="E752" s="52"/>
      <c r="F752" s="52"/>
      <c r="G752" s="52"/>
      <c r="H752" s="52"/>
      <c r="I752" s="52"/>
      <c r="J752" s="52"/>
      <c r="K752" s="52"/>
      <c r="L752" s="52"/>
    </row>
    <row r="753">
      <c r="A753" s="77"/>
      <c r="B753" s="77"/>
      <c r="C753" s="52"/>
      <c r="D753" s="52"/>
      <c r="E753" s="52"/>
      <c r="F753" s="52"/>
      <c r="G753" s="52"/>
      <c r="H753" s="52"/>
      <c r="I753" s="52"/>
      <c r="J753" s="52"/>
      <c r="K753" s="52"/>
      <c r="L753" s="52"/>
    </row>
    <row r="754">
      <c r="A754" s="77"/>
      <c r="B754" s="77"/>
      <c r="C754" s="52"/>
      <c r="D754" s="52"/>
      <c r="E754" s="52"/>
      <c r="F754" s="52"/>
      <c r="G754" s="52"/>
      <c r="H754" s="52"/>
      <c r="I754" s="52"/>
      <c r="J754" s="52"/>
      <c r="K754" s="52"/>
      <c r="L754" s="52"/>
    </row>
    <row r="755">
      <c r="A755" s="77"/>
      <c r="B755" s="77"/>
      <c r="C755" s="52"/>
      <c r="D755" s="52"/>
      <c r="E755" s="52"/>
      <c r="F755" s="52"/>
      <c r="G755" s="52"/>
      <c r="H755" s="52"/>
      <c r="I755" s="52"/>
      <c r="J755" s="52"/>
      <c r="K755" s="52"/>
      <c r="L755" s="52"/>
    </row>
    <row r="756">
      <c r="A756" s="77"/>
      <c r="B756" s="77"/>
      <c r="C756" s="52"/>
      <c r="D756" s="52"/>
      <c r="E756" s="52"/>
      <c r="F756" s="52"/>
      <c r="G756" s="52"/>
      <c r="H756" s="52"/>
      <c r="I756" s="52"/>
      <c r="J756" s="52"/>
      <c r="K756" s="52"/>
      <c r="L756" s="52"/>
    </row>
    <row r="757">
      <c r="A757" s="77"/>
      <c r="B757" s="77"/>
      <c r="C757" s="52"/>
      <c r="D757" s="52"/>
      <c r="E757" s="52"/>
      <c r="F757" s="52"/>
      <c r="G757" s="52"/>
      <c r="H757" s="52"/>
      <c r="I757" s="52"/>
      <c r="J757" s="52"/>
      <c r="K757" s="52"/>
      <c r="L757" s="52"/>
    </row>
    <row r="758">
      <c r="A758" s="77"/>
      <c r="B758" s="77"/>
      <c r="C758" s="52"/>
      <c r="D758" s="52"/>
      <c r="E758" s="52"/>
      <c r="F758" s="52"/>
      <c r="G758" s="52"/>
      <c r="H758" s="52"/>
      <c r="I758" s="52"/>
      <c r="J758" s="52"/>
      <c r="K758" s="52"/>
      <c r="L758" s="52"/>
    </row>
    <row r="759">
      <c r="A759" s="77"/>
      <c r="B759" s="77"/>
      <c r="C759" s="52"/>
      <c r="D759" s="52"/>
      <c r="E759" s="52"/>
      <c r="F759" s="52"/>
      <c r="G759" s="52"/>
      <c r="H759" s="52"/>
      <c r="I759" s="52"/>
      <c r="J759" s="52"/>
      <c r="K759" s="52"/>
      <c r="L759" s="52"/>
    </row>
    <row r="760">
      <c r="A760" s="77"/>
      <c r="B760" s="77"/>
      <c r="C760" s="52"/>
      <c r="D760" s="52"/>
      <c r="E760" s="52"/>
      <c r="F760" s="52"/>
      <c r="G760" s="52"/>
      <c r="H760" s="52"/>
      <c r="I760" s="52"/>
      <c r="J760" s="52"/>
      <c r="K760" s="52"/>
      <c r="L760" s="52"/>
    </row>
    <row r="761">
      <c r="A761" s="77"/>
      <c r="B761" s="77"/>
      <c r="C761" s="52"/>
      <c r="D761" s="52"/>
      <c r="E761" s="52"/>
      <c r="F761" s="52"/>
      <c r="G761" s="52"/>
      <c r="H761" s="52"/>
      <c r="I761" s="52"/>
      <c r="J761" s="52"/>
      <c r="K761" s="52"/>
      <c r="L761" s="52"/>
    </row>
    <row r="762">
      <c r="A762" s="77"/>
      <c r="B762" s="77"/>
      <c r="C762" s="52"/>
      <c r="D762" s="52"/>
      <c r="E762" s="52"/>
      <c r="F762" s="52"/>
      <c r="G762" s="52"/>
      <c r="H762" s="52"/>
      <c r="I762" s="52"/>
      <c r="J762" s="52"/>
      <c r="K762" s="52"/>
      <c r="L762" s="52"/>
    </row>
    <row r="763">
      <c r="A763" s="77"/>
      <c r="B763" s="77"/>
      <c r="C763" s="52"/>
      <c r="D763" s="52"/>
      <c r="E763" s="52"/>
      <c r="F763" s="52"/>
      <c r="G763" s="52"/>
      <c r="H763" s="52"/>
      <c r="I763" s="52"/>
      <c r="J763" s="52"/>
      <c r="K763" s="52"/>
      <c r="L763" s="52"/>
    </row>
    <row r="764">
      <c r="A764" s="77"/>
      <c r="B764" s="77"/>
      <c r="C764" s="52"/>
      <c r="D764" s="52"/>
      <c r="E764" s="52"/>
      <c r="F764" s="52"/>
      <c r="G764" s="52"/>
      <c r="H764" s="52"/>
      <c r="I764" s="52"/>
      <c r="J764" s="52"/>
      <c r="K764" s="52"/>
      <c r="L764" s="52"/>
    </row>
    <row r="765">
      <c r="A765" s="77"/>
      <c r="B765" s="77"/>
      <c r="C765" s="52"/>
      <c r="D765" s="52"/>
      <c r="E765" s="52"/>
      <c r="F765" s="52"/>
      <c r="G765" s="52"/>
      <c r="H765" s="52"/>
      <c r="I765" s="52"/>
      <c r="J765" s="52"/>
      <c r="K765" s="52"/>
      <c r="L765" s="52"/>
    </row>
    <row r="766">
      <c r="A766" s="77"/>
      <c r="B766" s="77"/>
      <c r="C766" s="52"/>
      <c r="D766" s="52"/>
      <c r="E766" s="52"/>
      <c r="F766" s="52"/>
      <c r="G766" s="52"/>
      <c r="H766" s="52"/>
      <c r="I766" s="52"/>
      <c r="J766" s="52"/>
      <c r="K766" s="52"/>
      <c r="L766" s="52"/>
    </row>
    <row r="767">
      <c r="A767" s="77"/>
      <c r="B767" s="77"/>
      <c r="C767" s="52"/>
      <c r="D767" s="52"/>
      <c r="E767" s="52"/>
      <c r="F767" s="52"/>
      <c r="G767" s="52"/>
      <c r="H767" s="52"/>
      <c r="I767" s="52"/>
      <c r="J767" s="52"/>
      <c r="K767" s="52"/>
      <c r="L767" s="52"/>
    </row>
    <row r="768">
      <c r="A768" s="77"/>
      <c r="B768" s="77"/>
      <c r="C768" s="52"/>
      <c r="D768" s="52"/>
      <c r="E768" s="52"/>
      <c r="F768" s="52"/>
      <c r="G768" s="52"/>
      <c r="H768" s="52"/>
      <c r="I768" s="52"/>
      <c r="J768" s="52"/>
      <c r="K768" s="52"/>
      <c r="L768" s="52"/>
    </row>
    <row r="769">
      <c r="A769" s="77"/>
      <c r="B769" s="77"/>
      <c r="C769" s="52"/>
      <c r="D769" s="52"/>
      <c r="E769" s="52"/>
      <c r="F769" s="52"/>
      <c r="G769" s="52"/>
      <c r="H769" s="52"/>
      <c r="I769" s="52"/>
      <c r="J769" s="52"/>
      <c r="K769" s="52"/>
      <c r="L769" s="52"/>
    </row>
    <row r="770">
      <c r="A770" s="77"/>
      <c r="B770" s="77"/>
      <c r="C770" s="52"/>
      <c r="D770" s="52"/>
      <c r="E770" s="52"/>
      <c r="F770" s="52"/>
      <c r="G770" s="52"/>
      <c r="H770" s="52"/>
      <c r="I770" s="52"/>
      <c r="J770" s="52"/>
      <c r="K770" s="52"/>
      <c r="L770" s="52"/>
    </row>
    <row r="771">
      <c r="A771" s="77"/>
      <c r="B771" s="77"/>
      <c r="C771" s="52"/>
      <c r="D771" s="52"/>
      <c r="E771" s="52"/>
      <c r="F771" s="52"/>
      <c r="G771" s="52"/>
      <c r="H771" s="52"/>
      <c r="I771" s="52"/>
      <c r="J771" s="52"/>
      <c r="K771" s="52"/>
      <c r="L771" s="52"/>
    </row>
    <row r="772">
      <c r="A772" s="77"/>
      <c r="B772" s="77"/>
      <c r="C772" s="52"/>
      <c r="D772" s="52"/>
      <c r="E772" s="52"/>
      <c r="F772" s="52"/>
      <c r="G772" s="52"/>
      <c r="H772" s="52"/>
      <c r="I772" s="52"/>
      <c r="J772" s="52"/>
      <c r="K772" s="52"/>
      <c r="L772" s="52"/>
    </row>
    <row r="773">
      <c r="A773" s="77"/>
      <c r="B773" s="77"/>
      <c r="C773" s="52"/>
      <c r="D773" s="52"/>
      <c r="E773" s="52"/>
      <c r="F773" s="52"/>
      <c r="G773" s="52"/>
      <c r="H773" s="52"/>
      <c r="I773" s="52"/>
      <c r="J773" s="52"/>
      <c r="K773" s="52"/>
      <c r="L773" s="52"/>
    </row>
    <row r="774">
      <c r="A774" s="77"/>
      <c r="B774" s="77"/>
      <c r="C774" s="52"/>
      <c r="D774" s="52"/>
      <c r="E774" s="52"/>
      <c r="F774" s="52"/>
      <c r="G774" s="52"/>
      <c r="H774" s="52"/>
      <c r="I774" s="52"/>
      <c r="J774" s="52"/>
      <c r="K774" s="52"/>
      <c r="L774" s="52"/>
    </row>
    <row r="775">
      <c r="A775" s="77"/>
      <c r="B775" s="77"/>
      <c r="C775" s="52"/>
      <c r="D775" s="52"/>
      <c r="E775" s="52"/>
      <c r="F775" s="52"/>
      <c r="G775" s="52"/>
      <c r="H775" s="52"/>
      <c r="I775" s="52"/>
      <c r="J775" s="52"/>
      <c r="K775" s="52"/>
      <c r="L775" s="52"/>
    </row>
    <row r="776">
      <c r="A776" s="77"/>
      <c r="B776" s="77"/>
      <c r="C776" s="52"/>
      <c r="D776" s="52"/>
      <c r="E776" s="52"/>
      <c r="F776" s="52"/>
      <c r="G776" s="52"/>
      <c r="H776" s="52"/>
      <c r="I776" s="52"/>
      <c r="J776" s="52"/>
      <c r="K776" s="52"/>
      <c r="L776" s="52"/>
    </row>
    <row r="777">
      <c r="A777" s="77"/>
      <c r="B777" s="77"/>
      <c r="C777" s="52"/>
      <c r="D777" s="52"/>
      <c r="E777" s="52"/>
      <c r="F777" s="52"/>
      <c r="G777" s="52"/>
      <c r="H777" s="52"/>
      <c r="I777" s="52"/>
      <c r="J777" s="52"/>
      <c r="K777" s="52"/>
      <c r="L777" s="52"/>
    </row>
    <row r="778">
      <c r="A778" s="77"/>
      <c r="B778" s="77"/>
      <c r="C778" s="52"/>
      <c r="D778" s="52"/>
      <c r="E778" s="52"/>
      <c r="F778" s="52"/>
      <c r="G778" s="52"/>
      <c r="H778" s="52"/>
      <c r="I778" s="52"/>
      <c r="J778" s="52"/>
      <c r="K778" s="52"/>
      <c r="L778" s="52"/>
    </row>
    <row r="779">
      <c r="A779" s="77"/>
      <c r="B779" s="77"/>
      <c r="C779" s="52"/>
      <c r="D779" s="52"/>
      <c r="E779" s="52"/>
      <c r="F779" s="52"/>
      <c r="G779" s="52"/>
      <c r="H779" s="52"/>
      <c r="I779" s="52"/>
      <c r="J779" s="52"/>
      <c r="K779" s="52"/>
      <c r="L779" s="52"/>
    </row>
    <row r="780">
      <c r="A780" s="77"/>
      <c r="B780" s="77"/>
      <c r="C780" s="52"/>
      <c r="D780" s="52"/>
      <c r="E780" s="52"/>
      <c r="F780" s="52"/>
      <c r="G780" s="52"/>
      <c r="H780" s="52"/>
      <c r="I780" s="52"/>
      <c r="J780" s="52"/>
      <c r="K780" s="52"/>
      <c r="L780" s="52"/>
    </row>
    <row r="781">
      <c r="A781" s="77"/>
      <c r="B781" s="77"/>
      <c r="C781" s="52"/>
      <c r="D781" s="52"/>
      <c r="E781" s="52"/>
      <c r="F781" s="52"/>
      <c r="G781" s="52"/>
      <c r="H781" s="52"/>
      <c r="I781" s="52"/>
      <c r="J781" s="52"/>
      <c r="K781" s="52"/>
      <c r="L781" s="52"/>
    </row>
    <row r="782">
      <c r="A782" s="77"/>
      <c r="B782" s="77"/>
      <c r="C782" s="52"/>
      <c r="D782" s="52"/>
      <c r="E782" s="52"/>
      <c r="F782" s="52"/>
      <c r="G782" s="52"/>
      <c r="H782" s="52"/>
      <c r="I782" s="52"/>
      <c r="J782" s="52"/>
      <c r="K782" s="52"/>
      <c r="L782" s="52"/>
    </row>
    <row r="783">
      <c r="A783" s="77"/>
      <c r="B783" s="77"/>
      <c r="C783" s="52"/>
      <c r="D783" s="52"/>
      <c r="E783" s="52"/>
      <c r="F783" s="52"/>
      <c r="G783" s="52"/>
      <c r="H783" s="52"/>
      <c r="I783" s="52"/>
      <c r="J783" s="52"/>
      <c r="K783" s="52"/>
      <c r="L783" s="52"/>
    </row>
    <row r="784">
      <c r="A784" s="77"/>
      <c r="B784" s="77"/>
      <c r="C784" s="52"/>
      <c r="D784" s="52"/>
      <c r="E784" s="52"/>
      <c r="F784" s="52"/>
      <c r="G784" s="52"/>
      <c r="H784" s="52"/>
      <c r="I784" s="52"/>
      <c r="J784" s="52"/>
      <c r="K784" s="52"/>
      <c r="L784" s="52"/>
    </row>
    <row r="785">
      <c r="A785" s="77"/>
      <c r="B785" s="77"/>
      <c r="C785" s="52"/>
      <c r="D785" s="52"/>
      <c r="E785" s="52"/>
      <c r="F785" s="52"/>
      <c r="G785" s="52"/>
      <c r="H785" s="52"/>
      <c r="I785" s="52"/>
      <c r="J785" s="52"/>
      <c r="K785" s="52"/>
      <c r="L785" s="52"/>
    </row>
    <row r="786">
      <c r="A786" s="77"/>
      <c r="B786" s="77"/>
      <c r="C786" s="52"/>
      <c r="D786" s="52"/>
      <c r="E786" s="52"/>
      <c r="F786" s="52"/>
      <c r="G786" s="52"/>
      <c r="H786" s="52"/>
      <c r="I786" s="52"/>
      <c r="J786" s="52"/>
      <c r="K786" s="52"/>
      <c r="L786" s="52"/>
    </row>
    <row r="787">
      <c r="A787" s="77"/>
      <c r="B787" s="77"/>
      <c r="C787" s="52"/>
      <c r="D787" s="52"/>
      <c r="E787" s="52"/>
      <c r="F787" s="52"/>
      <c r="G787" s="52"/>
      <c r="H787" s="52"/>
      <c r="I787" s="52"/>
      <c r="J787" s="52"/>
      <c r="K787" s="52"/>
      <c r="L787" s="52"/>
    </row>
    <row r="788">
      <c r="A788" s="77"/>
      <c r="B788" s="77"/>
      <c r="C788" s="52"/>
      <c r="D788" s="52"/>
      <c r="E788" s="52"/>
      <c r="F788" s="52"/>
      <c r="G788" s="52"/>
      <c r="H788" s="52"/>
      <c r="I788" s="52"/>
      <c r="J788" s="52"/>
      <c r="K788" s="52"/>
      <c r="L788" s="52"/>
    </row>
    <row r="789">
      <c r="A789" s="77"/>
      <c r="B789" s="77"/>
      <c r="C789" s="52"/>
      <c r="D789" s="52"/>
      <c r="E789" s="52"/>
      <c r="F789" s="52"/>
      <c r="G789" s="52"/>
      <c r="H789" s="52"/>
      <c r="I789" s="52"/>
      <c r="J789" s="52"/>
      <c r="K789" s="52"/>
      <c r="L789" s="52"/>
    </row>
    <row r="790">
      <c r="A790" s="77"/>
      <c r="B790" s="77"/>
      <c r="C790" s="52"/>
      <c r="D790" s="52"/>
      <c r="E790" s="52"/>
      <c r="F790" s="52"/>
      <c r="G790" s="52"/>
      <c r="H790" s="52"/>
      <c r="I790" s="52"/>
      <c r="J790" s="52"/>
      <c r="K790" s="52"/>
      <c r="L790" s="52"/>
    </row>
    <row r="791">
      <c r="A791" s="77"/>
      <c r="B791" s="77"/>
      <c r="C791" s="52"/>
      <c r="D791" s="52"/>
      <c r="E791" s="52"/>
      <c r="F791" s="52"/>
      <c r="G791" s="52"/>
      <c r="H791" s="52"/>
      <c r="I791" s="52"/>
      <c r="J791" s="52"/>
      <c r="K791" s="52"/>
      <c r="L791" s="52"/>
    </row>
    <row r="792">
      <c r="A792" s="77"/>
      <c r="B792" s="77"/>
      <c r="C792" s="52"/>
      <c r="D792" s="52"/>
      <c r="E792" s="52"/>
      <c r="F792" s="52"/>
      <c r="G792" s="52"/>
      <c r="H792" s="52"/>
      <c r="I792" s="52"/>
      <c r="J792" s="52"/>
      <c r="K792" s="52"/>
      <c r="L792" s="52"/>
    </row>
    <row r="793">
      <c r="A793" s="77"/>
      <c r="B793" s="77"/>
      <c r="C793" s="52"/>
      <c r="D793" s="52"/>
      <c r="E793" s="52"/>
      <c r="F793" s="52"/>
      <c r="G793" s="52"/>
      <c r="H793" s="52"/>
      <c r="I793" s="52"/>
      <c r="J793" s="52"/>
      <c r="K793" s="52"/>
      <c r="L793" s="52"/>
    </row>
    <row r="794">
      <c r="A794" s="77"/>
      <c r="B794" s="77"/>
      <c r="C794" s="52"/>
      <c r="D794" s="52"/>
      <c r="E794" s="52"/>
      <c r="F794" s="52"/>
      <c r="G794" s="52"/>
      <c r="H794" s="52"/>
      <c r="I794" s="52"/>
      <c r="J794" s="52"/>
      <c r="K794" s="52"/>
      <c r="L794" s="52"/>
    </row>
    <row r="795">
      <c r="A795" s="77"/>
      <c r="B795" s="77"/>
      <c r="C795" s="52"/>
      <c r="D795" s="52"/>
      <c r="E795" s="52"/>
      <c r="F795" s="52"/>
      <c r="G795" s="52"/>
      <c r="H795" s="52"/>
      <c r="I795" s="52"/>
      <c r="J795" s="52"/>
      <c r="K795" s="52"/>
      <c r="L795" s="52"/>
    </row>
    <row r="796">
      <c r="A796" s="77"/>
      <c r="B796" s="77"/>
      <c r="C796" s="52"/>
      <c r="D796" s="52"/>
      <c r="E796" s="52"/>
      <c r="F796" s="52"/>
      <c r="G796" s="52"/>
      <c r="H796" s="52"/>
      <c r="I796" s="52"/>
      <c r="J796" s="52"/>
      <c r="K796" s="52"/>
      <c r="L796" s="52"/>
    </row>
    <row r="797">
      <c r="A797" s="77"/>
      <c r="B797" s="77"/>
      <c r="C797" s="52"/>
      <c r="D797" s="52"/>
      <c r="E797" s="52"/>
      <c r="F797" s="52"/>
      <c r="G797" s="52"/>
      <c r="H797" s="52"/>
      <c r="I797" s="52"/>
      <c r="J797" s="52"/>
      <c r="K797" s="52"/>
      <c r="L797" s="52"/>
    </row>
    <row r="798">
      <c r="A798" s="77"/>
      <c r="B798" s="77"/>
      <c r="C798" s="52"/>
      <c r="D798" s="52"/>
      <c r="E798" s="52"/>
      <c r="F798" s="52"/>
      <c r="G798" s="52"/>
      <c r="H798" s="52"/>
      <c r="I798" s="52"/>
      <c r="J798" s="52"/>
      <c r="K798" s="52"/>
      <c r="L798" s="52"/>
    </row>
    <row r="799">
      <c r="A799" s="77"/>
      <c r="B799" s="77"/>
      <c r="C799" s="52"/>
      <c r="D799" s="52"/>
      <c r="E799" s="52"/>
      <c r="F799" s="52"/>
      <c r="G799" s="52"/>
      <c r="H799" s="52"/>
      <c r="I799" s="52"/>
      <c r="J799" s="52"/>
      <c r="K799" s="52"/>
      <c r="L799" s="52"/>
    </row>
    <row r="800">
      <c r="A800" s="77"/>
      <c r="B800" s="77"/>
      <c r="C800" s="52"/>
      <c r="D800" s="52"/>
      <c r="E800" s="52"/>
      <c r="F800" s="52"/>
      <c r="G800" s="52"/>
      <c r="H800" s="52"/>
      <c r="I800" s="52"/>
      <c r="J800" s="52"/>
      <c r="K800" s="52"/>
      <c r="L800" s="52"/>
    </row>
    <row r="801">
      <c r="A801" s="77"/>
      <c r="B801" s="77"/>
      <c r="C801" s="52"/>
      <c r="D801" s="52"/>
      <c r="E801" s="52"/>
      <c r="F801" s="52"/>
      <c r="G801" s="52"/>
      <c r="H801" s="52"/>
      <c r="I801" s="52"/>
      <c r="J801" s="52"/>
      <c r="K801" s="52"/>
      <c r="L801" s="52"/>
    </row>
    <row r="802">
      <c r="A802" s="77"/>
      <c r="B802" s="77"/>
      <c r="C802" s="52"/>
      <c r="D802" s="52"/>
      <c r="E802" s="52"/>
      <c r="F802" s="52"/>
      <c r="G802" s="52"/>
      <c r="H802" s="52"/>
      <c r="I802" s="52"/>
      <c r="J802" s="52"/>
      <c r="K802" s="52"/>
      <c r="L802" s="52"/>
    </row>
    <row r="803">
      <c r="A803" s="77"/>
      <c r="B803" s="77"/>
      <c r="C803" s="52"/>
      <c r="D803" s="52"/>
      <c r="E803" s="52"/>
      <c r="F803" s="52"/>
      <c r="G803" s="52"/>
      <c r="H803" s="52"/>
      <c r="I803" s="52"/>
      <c r="J803" s="52"/>
      <c r="K803" s="52"/>
      <c r="L803" s="52"/>
    </row>
    <row r="804">
      <c r="A804" s="77"/>
      <c r="B804" s="77"/>
      <c r="C804" s="52"/>
      <c r="D804" s="52"/>
      <c r="E804" s="52"/>
      <c r="F804" s="52"/>
      <c r="G804" s="52"/>
      <c r="H804" s="52"/>
      <c r="I804" s="52"/>
      <c r="J804" s="52"/>
      <c r="K804" s="52"/>
      <c r="L804" s="52"/>
    </row>
    <row r="805">
      <c r="A805" s="77"/>
      <c r="B805" s="77"/>
      <c r="C805" s="52"/>
      <c r="D805" s="52"/>
      <c r="E805" s="52"/>
      <c r="F805" s="52"/>
      <c r="G805" s="52"/>
      <c r="H805" s="52"/>
      <c r="I805" s="52"/>
      <c r="J805" s="52"/>
      <c r="K805" s="52"/>
      <c r="L805" s="52"/>
    </row>
    <row r="806">
      <c r="A806" s="77"/>
      <c r="B806" s="77"/>
      <c r="C806" s="52"/>
      <c r="D806" s="52"/>
      <c r="E806" s="52"/>
      <c r="F806" s="52"/>
      <c r="G806" s="52"/>
      <c r="H806" s="52"/>
      <c r="I806" s="52"/>
      <c r="J806" s="52"/>
      <c r="K806" s="52"/>
      <c r="L806" s="52"/>
    </row>
    <row r="807">
      <c r="A807" s="77"/>
      <c r="B807" s="77"/>
      <c r="C807" s="52"/>
      <c r="D807" s="52"/>
      <c r="E807" s="52"/>
      <c r="F807" s="52"/>
      <c r="G807" s="52"/>
      <c r="H807" s="52"/>
      <c r="I807" s="52"/>
      <c r="J807" s="52"/>
      <c r="K807" s="52"/>
      <c r="L807" s="52"/>
    </row>
    <row r="808">
      <c r="A808" s="77"/>
      <c r="B808" s="77"/>
      <c r="C808" s="52"/>
      <c r="D808" s="52"/>
      <c r="E808" s="52"/>
      <c r="F808" s="52"/>
      <c r="G808" s="52"/>
      <c r="H808" s="52"/>
      <c r="I808" s="52"/>
      <c r="J808" s="52"/>
      <c r="K808" s="52"/>
      <c r="L808" s="52"/>
    </row>
    <row r="809">
      <c r="A809" s="77"/>
      <c r="B809" s="77"/>
      <c r="C809" s="52"/>
      <c r="D809" s="52"/>
      <c r="E809" s="52"/>
      <c r="F809" s="52"/>
      <c r="G809" s="52"/>
      <c r="H809" s="52"/>
      <c r="I809" s="52"/>
      <c r="J809" s="52"/>
      <c r="K809" s="52"/>
      <c r="L809" s="52"/>
    </row>
    <row r="810">
      <c r="A810" s="77"/>
      <c r="B810" s="77"/>
      <c r="C810" s="52"/>
      <c r="D810" s="52"/>
      <c r="E810" s="52"/>
      <c r="F810" s="52"/>
      <c r="G810" s="52"/>
      <c r="H810" s="52"/>
      <c r="I810" s="52"/>
      <c r="J810" s="52"/>
      <c r="K810" s="52"/>
      <c r="L810" s="52"/>
    </row>
    <row r="811">
      <c r="A811" s="77"/>
      <c r="B811" s="77"/>
      <c r="C811" s="52"/>
      <c r="D811" s="52"/>
      <c r="E811" s="52"/>
      <c r="F811" s="52"/>
      <c r="G811" s="52"/>
      <c r="H811" s="52"/>
      <c r="I811" s="52"/>
      <c r="J811" s="52"/>
      <c r="K811" s="52"/>
      <c r="L811" s="52"/>
    </row>
    <row r="812">
      <c r="A812" s="77"/>
      <c r="B812" s="77"/>
      <c r="C812" s="52"/>
      <c r="D812" s="52"/>
      <c r="E812" s="52"/>
      <c r="F812" s="52"/>
      <c r="G812" s="52"/>
      <c r="H812" s="52"/>
      <c r="I812" s="52"/>
      <c r="J812" s="52"/>
      <c r="K812" s="52"/>
      <c r="L812" s="52"/>
    </row>
    <row r="813">
      <c r="A813" s="77"/>
      <c r="B813" s="77"/>
      <c r="C813" s="52"/>
      <c r="D813" s="52"/>
      <c r="E813" s="52"/>
      <c r="F813" s="52"/>
      <c r="G813" s="52"/>
      <c r="H813" s="52"/>
      <c r="I813" s="52"/>
      <c r="J813" s="52"/>
      <c r="K813" s="52"/>
      <c r="L813" s="52"/>
    </row>
    <row r="814">
      <c r="A814" s="77"/>
      <c r="B814" s="77"/>
      <c r="C814" s="52"/>
      <c r="D814" s="52"/>
      <c r="E814" s="52"/>
      <c r="F814" s="52"/>
      <c r="G814" s="52"/>
      <c r="H814" s="52"/>
      <c r="I814" s="52"/>
      <c r="J814" s="52"/>
      <c r="K814" s="52"/>
      <c r="L814" s="52"/>
    </row>
    <row r="815">
      <c r="A815" s="77"/>
      <c r="B815" s="77"/>
      <c r="C815" s="52"/>
      <c r="D815" s="52"/>
      <c r="E815" s="52"/>
      <c r="F815" s="52"/>
      <c r="G815" s="52"/>
      <c r="H815" s="52"/>
      <c r="I815" s="52"/>
      <c r="J815" s="52"/>
      <c r="K815" s="52"/>
      <c r="L815" s="52"/>
    </row>
    <row r="816">
      <c r="A816" s="77"/>
      <c r="B816" s="77"/>
      <c r="C816" s="52"/>
      <c r="D816" s="52"/>
      <c r="E816" s="52"/>
      <c r="F816" s="52"/>
      <c r="G816" s="52"/>
      <c r="H816" s="52"/>
      <c r="I816" s="52"/>
      <c r="J816" s="52"/>
      <c r="K816" s="52"/>
      <c r="L816" s="52"/>
    </row>
    <row r="817">
      <c r="A817" s="77"/>
      <c r="B817" s="77"/>
      <c r="C817" s="52"/>
      <c r="D817" s="52"/>
      <c r="E817" s="52"/>
      <c r="F817" s="52"/>
      <c r="G817" s="52"/>
      <c r="H817" s="52"/>
      <c r="I817" s="52"/>
      <c r="J817" s="52"/>
      <c r="K817" s="52"/>
      <c r="L817" s="52"/>
    </row>
    <row r="818">
      <c r="A818" s="77"/>
      <c r="B818" s="77"/>
      <c r="C818" s="52"/>
      <c r="D818" s="52"/>
      <c r="E818" s="52"/>
      <c r="F818" s="52"/>
      <c r="G818" s="52"/>
      <c r="H818" s="52"/>
      <c r="I818" s="52"/>
      <c r="J818" s="52"/>
      <c r="K818" s="52"/>
      <c r="L818" s="52"/>
    </row>
    <row r="819">
      <c r="A819" s="77"/>
      <c r="B819" s="77"/>
      <c r="C819" s="52"/>
      <c r="D819" s="52"/>
      <c r="E819" s="52"/>
      <c r="F819" s="52"/>
      <c r="G819" s="52"/>
      <c r="H819" s="52"/>
      <c r="I819" s="52"/>
      <c r="J819" s="52"/>
      <c r="K819" s="52"/>
      <c r="L819" s="52"/>
    </row>
    <row r="820">
      <c r="A820" s="77"/>
      <c r="B820" s="77"/>
      <c r="C820" s="52"/>
      <c r="D820" s="52"/>
      <c r="E820" s="52"/>
      <c r="F820" s="52"/>
      <c r="G820" s="52"/>
      <c r="H820" s="52"/>
      <c r="I820" s="52"/>
      <c r="J820" s="52"/>
      <c r="K820" s="52"/>
      <c r="L820" s="52"/>
    </row>
    <row r="821">
      <c r="A821" s="77"/>
      <c r="B821" s="77"/>
      <c r="C821" s="52"/>
      <c r="D821" s="52"/>
      <c r="E821" s="52"/>
      <c r="F821" s="52"/>
      <c r="G821" s="52"/>
      <c r="H821" s="52"/>
      <c r="I821" s="52"/>
      <c r="J821" s="52"/>
      <c r="K821" s="52"/>
      <c r="L821" s="52"/>
    </row>
    <row r="822">
      <c r="A822" s="77"/>
      <c r="B822" s="77"/>
      <c r="C822" s="52"/>
      <c r="D822" s="52"/>
      <c r="E822" s="52"/>
      <c r="F822" s="52"/>
      <c r="G822" s="52"/>
      <c r="H822" s="52"/>
      <c r="I822" s="52"/>
      <c r="J822" s="52"/>
      <c r="K822" s="52"/>
      <c r="L822" s="52"/>
    </row>
    <row r="823">
      <c r="A823" s="77"/>
      <c r="B823" s="77"/>
      <c r="C823" s="52"/>
      <c r="D823" s="52"/>
      <c r="E823" s="52"/>
      <c r="F823" s="52"/>
      <c r="G823" s="52"/>
      <c r="H823" s="52"/>
      <c r="I823" s="52"/>
      <c r="J823" s="52"/>
      <c r="K823" s="52"/>
      <c r="L823" s="52"/>
    </row>
    <row r="824">
      <c r="A824" s="77"/>
      <c r="B824" s="77"/>
      <c r="C824" s="52"/>
      <c r="D824" s="52"/>
      <c r="E824" s="52"/>
      <c r="F824" s="52"/>
      <c r="G824" s="52"/>
      <c r="H824" s="52"/>
      <c r="I824" s="52"/>
      <c r="J824" s="52"/>
      <c r="K824" s="52"/>
      <c r="L824" s="52"/>
    </row>
    <row r="825">
      <c r="A825" s="77"/>
      <c r="B825" s="77"/>
      <c r="C825" s="52"/>
      <c r="D825" s="52"/>
      <c r="E825" s="52"/>
      <c r="F825" s="52"/>
      <c r="G825" s="52"/>
      <c r="H825" s="52"/>
      <c r="I825" s="52"/>
      <c r="J825" s="52"/>
      <c r="K825" s="52"/>
      <c r="L825" s="52"/>
    </row>
    <row r="826">
      <c r="A826" s="77"/>
      <c r="B826" s="77"/>
      <c r="C826" s="52"/>
      <c r="D826" s="52"/>
      <c r="E826" s="52"/>
      <c r="F826" s="52"/>
      <c r="G826" s="52"/>
      <c r="H826" s="52"/>
      <c r="I826" s="52"/>
      <c r="J826" s="52"/>
      <c r="K826" s="52"/>
      <c r="L826" s="52"/>
    </row>
    <row r="827">
      <c r="A827" s="77"/>
      <c r="B827" s="77"/>
      <c r="C827" s="52"/>
      <c r="D827" s="52"/>
      <c r="E827" s="52"/>
      <c r="F827" s="52"/>
      <c r="G827" s="52"/>
      <c r="H827" s="52"/>
      <c r="I827" s="52"/>
      <c r="J827" s="52"/>
      <c r="K827" s="52"/>
      <c r="L827" s="52"/>
    </row>
    <row r="828">
      <c r="A828" s="77"/>
      <c r="B828" s="77"/>
      <c r="C828" s="52"/>
      <c r="D828" s="52"/>
      <c r="E828" s="52"/>
      <c r="F828" s="52"/>
      <c r="G828" s="52"/>
      <c r="H828" s="52"/>
      <c r="I828" s="52"/>
      <c r="J828" s="52"/>
      <c r="K828" s="52"/>
      <c r="L828" s="52"/>
    </row>
    <row r="829">
      <c r="A829" s="77"/>
      <c r="B829" s="77"/>
      <c r="C829" s="52"/>
      <c r="D829" s="52"/>
      <c r="E829" s="52"/>
      <c r="F829" s="52"/>
      <c r="G829" s="52"/>
      <c r="H829" s="52"/>
      <c r="I829" s="52"/>
      <c r="J829" s="52"/>
      <c r="K829" s="52"/>
      <c r="L829" s="52"/>
    </row>
    <row r="830">
      <c r="A830" s="77"/>
      <c r="B830" s="77"/>
      <c r="C830" s="52"/>
      <c r="D830" s="52"/>
      <c r="E830" s="52"/>
      <c r="F830" s="52"/>
      <c r="G830" s="52"/>
      <c r="H830" s="52"/>
      <c r="I830" s="52"/>
      <c r="J830" s="52"/>
      <c r="K830" s="52"/>
      <c r="L830" s="52"/>
    </row>
    <row r="831">
      <c r="A831" s="77"/>
      <c r="B831" s="77"/>
      <c r="C831" s="52"/>
      <c r="D831" s="52"/>
      <c r="E831" s="52"/>
      <c r="F831" s="52"/>
      <c r="G831" s="52"/>
      <c r="H831" s="52"/>
      <c r="I831" s="52"/>
      <c r="J831" s="52"/>
      <c r="K831" s="52"/>
      <c r="L831" s="52"/>
    </row>
    <row r="832">
      <c r="A832" s="77"/>
      <c r="B832" s="77"/>
      <c r="C832" s="52"/>
      <c r="D832" s="52"/>
      <c r="E832" s="52"/>
      <c r="F832" s="52"/>
      <c r="G832" s="52"/>
      <c r="H832" s="52"/>
      <c r="I832" s="52"/>
      <c r="J832" s="52"/>
      <c r="K832" s="52"/>
      <c r="L832" s="52"/>
    </row>
    <row r="833">
      <c r="A833" s="77"/>
      <c r="B833" s="77"/>
      <c r="C833" s="52"/>
      <c r="D833" s="52"/>
      <c r="E833" s="52"/>
      <c r="F833" s="52"/>
      <c r="G833" s="52"/>
      <c r="H833" s="52"/>
      <c r="I833" s="52"/>
      <c r="J833" s="52"/>
      <c r="K833" s="52"/>
      <c r="L833" s="52"/>
    </row>
    <row r="834">
      <c r="A834" s="77"/>
      <c r="B834" s="77"/>
      <c r="C834" s="52"/>
      <c r="D834" s="52"/>
      <c r="E834" s="52"/>
      <c r="F834" s="52"/>
      <c r="G834" s="52"/>
      <c r="H834" s="52"/>
      <c r="I834" s="52"/>
      <c r="J834" s="52"/>
      <c r="K834" s="52"/>
      <c r="L834" s="52"/>
    </row>
    <row r="835">
      <c r="A835" s="77"/>
      <c r="B835" s="77"/>
      <c r="C835" s="52"/>
      <c r="D835" s="52"/>
      <c r="E835" s="52"/>
      <c r="F835" s="52"/>
      <c r="G835" s="52"/>
      <c r="H835" s="52"/>
      <c r="I835" s="52"/>
      <c r="J835" s="52"/>
      <c r="K835" s="52"/>
      <c r="L835" s="52"/>
    </row>
    <row r="836">
      <c r="A836" s="77"/>
      <c r="B836" s="77"/>
      <c r="C836" s="52"/>
      <c r="D836" s="52"/>
      <c r="E836" s="52"/>
      <c r="F836" s="52"/>
      <c r="G836" s="52"/>
      <c r="H836" s="52"/>
      <c r="I836" s="52"/>
      <c r="J836" s="52"/>
      <c r="K836" s="52"/>
      <c r="L836" s="52"/>
    </row>
    <row r="837">
      <c r="A837" s="77"/>
      <c r="B837" s="77"/>
      <c r="C837" s="52"/>
      <c r="D837" s="52"/>
      <c r="E837" s="52"/>
      <c r="F837" s="52"/>
      <c r="G837" s="52"/>
      <c r="H837" s="52"/>
      <c r="I837" s="52"/>
      <c r="J837" s="52"/>
      <c r="K837" s="52"/>
      <c r="L837" s="52"/>
    </row>
    <row r="838">
      <c r="A838" s="77"/>
      <c r="B838" s="77"/>
      <c r="C838" s="52"/>
      <c r="D838" s="52"/>
      <c r="E838" s="52"/>
      <c r="F838" s="52"/>
      <c r="G838" s="52"/>
      <c r="H838" s="52"/>
      <c r="I838" s="52"/>
      <c r="J838" s="52"/>
      <c r="K838" s="52"/>
      <c r="L838" s="52"/>
    </row>
    <row r="839">
      <c r="A839" s="77"/>
      <c r="B839" s="77"/>
      <c r="C839" s="52"/>
      <c r="D839" s="52"/>
      <c r="E839" s="52"/>
      <c r="F839" s="52"/>
      <c r="G839" s="52"/>
      <c r="H839" s="52"/>
      <c r="I839" s="52"/>
      <c r="J839" s="52"/>
      <c r="K839" s="52"/>
      <c r="L839" s="52"/>
    </row>
    <row r="840">
      <c r="A840" s="77"/>
      <c r="B840" s="77"/>
      <c r="C840" s="52"/>
      <c r="D840" s="52"/>
      <c r="E840" s="52"/>
      <c r="F840" s="52"/>
      <c r="G840" s="52"/>
      <c r="H840" s="52"/>
      <c r="I840" s="52"/>
      <c r="J840" s="52"/>
      <c r="K840" s="52"/>
      <c r="L840" s="52"/>
    </row>
    <row r="841">
      <c r="A841" s="77"/>
      <c r="B841" s="77"/>
      <c r="C841" s="52"/>
      <c r="D841" s="52"/>
      <c r="E841" s="52"/>
      <c r="F841" s="52"/>
      <c r="G841" s="52"/>
      <c r="H841" s="52"/>
      <c r="I841" s="52"/>
      <c r="J841" s="52"/>
      <c r="K841" s="52"/>
      <c r="L841" s="52"/>
    </row>
    <row r="842">
      <c r="A842" s="77"/>
      <c r="B842" s="77"/>
      <c r="C842" s="52"/>
      <c r="D842" s="52"/>
      <c r="E842" s="52"/>
      <c r="F842" s="52"/>
      <c r="G842" s="52"/>
      <c r="H842" s="52"/>
      <c r="I842" s="52"/>
      <c r="J842" s="52"/>
      <c r="K842" s="52"/>
      <c r="L842" s="52"/>
    </row>
    <row r="843">
      <c r="A843" s="77"/>
      <c r="B843" s="77"/>
      <c r="C843" s="52"/>
      <c r="D843" s="52"/>
      <c r="E843" s="52"/>
      <c r="F843" s="52"/>
      <c r="G843" s="52"/>
      <c r="H843" s="52"/>
      <c r="I843" s="52"/>
      <c r="J843" s="52"/>
      <c r="K843" s="52"/>
      <c r="L843" s="52"/>
    </row>
    <row r="844">
      <c r="A844" s="77"/>
      <c r="B844" s="77"/>
      <c r="C844" s="52"/>
      <c r="D844" s="52"/>
      <c r="E844" s="52"/>
      <c r="F844" s="52"/>
      <c r="G844" s="52"/>
      <c r="H844" s="52"/>
      <c r="I844" s="52"/>
      <c r="J844" s="52"/>
      <c r="K844" s="52"/>
      <c r="L844" s="52"/>
    </row>
    <row r="845">
      <c r="A845" s="77"/>
      <c r="B845" s="77"/>
      <c r="C845" s="52"/>
      <c r="D845" s="52"/>
      <c r="E845" s="52"/>
      <c r="F845" s="52"/>
      <c r="G845" s="52"/>
      <c r="H845" s="52"/>
      <c r="I845" s="52"/>
      <c r="J845" s="52"/>
      <c r="K845" s="52"/>
      <c r="L845" s="52"/>
    </row>
    <row r="846">
      <c r="A846" s="77"/>
      <c r="B846" s="77"/>
      <c r="C846" s="52"/>
      <c r="D846" s="52"/>
      <c r="E846" s="52"/>
      <c r="F846" s="52"/>
      <c r="G846" s="52"/>
      <c r="H846" s="52"/>
      <c r="I846" s="52"/>
      <c r="J846" s="52"/>
      <c r="K846" s="52"/>
      <c r="L846" s="52"/>
    </row>
    <row r="847">
      <c r="A847" s="77"/>
      <c r="B847" s="77"/>
      <c r="C847" s="52"/>
      <c r="D847" s="52"/>
      <c r="E847" s="52"/>
      <c r="F847" s="52"/>
      <c r="G847" s="52"/>
      <c r="H847" s="52"/>
      <c r="I847" s="52"/>
      <c r="J847" s="52"/>
      <c r="K847" s="52"/>
      <c r="L847" s="52"/>
    </row>
    <row r="848">
      <c r="A848" s="77"/>
      <c r="B848" s="77"/>
      <c r="C848" s="52"/>
      <c r="D848" s="52"/>
      <c r="E848" s="52"/>
      <c r="F848" s="52"/>
      <c r="G848" s="52"/>
      <c r="H848" s="52"/>
      <c r="I848" s="52"/>
      <c r="J848" s="52"/>
      <c r="K848" s="52"/>
      <c r="L848" s="52"/>
    </row>
    <row r="849">
      <c r="A849" s="77"/>
      <c r="B849" s="77"/>
      <c r="C849" s="52"/>
      <c r="D849" s="52"/>
      <c r="E849" s="52"/>
      <c r="F849" s="52"/>
      <c r="G849" s="52"/>
      <c r="H849" s="52"/>
      <c r="I849" s="52"/>
      <c r="J849" s="52"/>
      <c r="K849" s="52"/>
      <c r="L849" s="52"/>
    </row>
    <row r="850">
      <c r="A850" s="77"/>
      <c r="B850" s="77"/>
      <c r="C850" s="52"/>
      <c r="D850" s="52"/>
      <c r="E850" s="52"/>
      <c r="F850" s="52"/>
      <c r="G850" s="52"/>
      <c r="H850" s="52"/>
      <c r="I850" s="52"/>
      <c r="J850" s="52"/>
      <c r="K850" s="52"/>
      <c r="L850" s="52"/>
    </row>
    <row r="851">
      <c r="A851" s="77"/>
      <c r="B851" s="77"/>
      <c r="C851" s="52"/>
      <c r="D851" s="52"/>
      <c r="E851" s="52"/>
      <c r="F851" s="52"/>
      <c r="G851" s="52"/>
      <c r="H851" s="52"/>
      <c r="I851" s="52"/>
      <c r="J851" s="52"/>
      <c r="K851" s="52"/>
      <c r="L851" s="52"/>
    </row>
    <row r="852">
      <c r="A852" s="77"/>
      <c r="B852" s="77"/>
      <c r="C852" s="52"/>
      <c r="D852" s="52"/>
      <c r="E852" s="52"/>
      <c r="F852" s="52"/>
      <c r="G852" s="52"/>
      <c r="H852" s="52"/>
      <c r="I852" s="52"/>
      <c r="J852" s="52"/>
      <c r="K852" s="52"/>
      <c r="L852" s="52"/>
    </row>
    <row r="853">
      <c r="A853" s="77"/>
      <c r="B853" s="77"/>
      <c r="C853" s="52"/>
      <c r="D853" s="52"/>
      <c r="E853" s="52"/>
      <c r="F853" s="52"/>
      <c r="G853" s="52"/>
      <c r="H853" s="52"/>
      <c r="I853" s="52"/>
      <c r="J853" s="52"/>
      <c r="K853" s="52"/>
      <c r="L853" s="52"/>
    </row>
    <row r="854">
      <c r="A854" s="77"/>
      <c r="B854" s="77"/>
      <c r="C854" s="52"/>
      <c r="D854" s="52"/>
      <c r="E854" s="52"/>
      <c r="F854" s="52"/>
      <c r="G854" s="52"/>
      <c r="H854" s="52"/>
      <c r="I854" s="52"/>
      <c r="J854" s="52"/>
      <c r="K854" s="52"/>
      <c r="L854" s="52"/>
    </row>
    <row r="855">
      <c r="A855" s="77"/>
      <c r="B855" s="77"/>
      <c r="C855" s="52"/>
      <c r="D855" s="52"/>
      <c r="E855" s="52"/>
      <c r="F855" s="52"/>
      <c r="G855" s="52"/>
      <c r="H855" s="52"/>
      <c r="I855" s="52"/>
      <c r="J855" s="52"/>
      <c r="K855" s="52"/>
      <c r="L855" s="52"/>
    </row>
    <row r="856">
      <c r="A856" s="77"/>
      <c r="B856" s="77"/>
      <c r="C856" s="52"/>
      <c r="D856" s="52"/>
      <c r="E856" s="52"/>
      <c r="F856" s="52"/>
      <c r="G856" s="52"/>
      <c r="H856" s="52"/>
      <c r="I856" s="52"/>
      <c r="J856" s="52"/>
      <c r="K856" s="52"/>
      <c r="L856" s="52"/>
    </row>
    <row r="857">
      <c r="A857" s="77"/>
      <c r="B857" s="77"/>
      <c r="C857" s="52"/>
      <c r="D857" s="52"/>
      <c r="E857" s="52"/>
      <c r="F857" s="52"/>
      <c r="G857" s="52"/>
      <c r="H857" s="52"/>
      <c r="I857" s="52"/>
      <c r="J857" s="52"/>
      <c r="K857" s="52"/>
      <c r="L857" s="52"/>
    </row>
    <row r="858">
      <c r="A858" s="77"/>
      <c r="B858" s="77"/>
      <c r="C858" s="52"/>
      <c r="D858" s="52"/>
      <c r="E858" s="52"/>
      <c r="F858" s="52"/>
      <c r="G858" s="52"/>
      <c r="H858" s="52"/>
      <c r="I858" s="52"/>
      <c r="J858" s="52"/>
      <c r="K858" s="52"/>
      <c r="L858" s="52"/>
    </row>
    <row r="859">
      <c r="A859" s="77"/>
      <c r="B859" s="77"/>
      <c r="C859" s="52"/>
      <c r="D859" s="52"/>
      <c r="E859" s="52"/>
      <c r="F859" s="52"/>
      <c r="G859" s="52"/>
      <c r="H859" s="52"/>
      <c r="I859" s="52"/>
      <c r="J859" s="52"/>
      <c r="K859" s="52"/>
      <c r="L859" s="52"/>
    </row>
    <row r="860">
      <c r="A860" s="77"/>
      <c r="B860" s="77"/>
      <c r="C860" s="52"/>
      <c r="D860" s="52"/>
      <c r="E860" s="52"/>
      <c r="F860" s="52"/>
      <c r="G860" s="52"/>
      <c r="H860" s="52"/>
      <c r="I860" s="52"/>
      <c r="J860" s="52"/>
      <c r="K860" s="52"/>
      <c r="L860" s="52"/>
    </row>
    <row r="861">
      <c r="A861" s="77"/>
      <c r="B861" s="77"/>
      <c r="C861" s="52"/>
      <c r="D861" s="52"/>
      <c r="E861" s="52"/>
      <c r="F861" s="52"/>
      <c r="G861" s="52"/>
      <c r="H861" s="52"/>
      <c r="I861" s="52"/>
      <c r="J861" s="52"/>
      <c r="K861" s="52"/>
      <c r="L861" s="52"/>
    </row>
    <row r="862">
      <c r="A862" s="77"/>
      <c r="B862" s="77"/>
      <c r="C862" s="52"/>
      <c r="D862" s="52"/>
      <c r="E862" s="52"/>
      <c r="F862" s="52"/>
      <c r="G862" s="52"/>
      <c r="H862" s="52"/>
      <c r="I862" s="52"/>
      <c r="J862" s="52"/>
      <c r="K862" s="52"/>
      <c r="L862" s="52"/>
    </row>
    <row r="863">
      <c r="A863" s="77"/>
      <c r="B863" s="77"/>
      <c r="C863" s="52"/>
      <c r="D863" s="52"/>
      <c r="E863" s="52"/>
      <c r="F863" s="52"/>
      <c r="G863" s="52"/>
      <c r="H863" s="52"/>
      <c r="I863" s="52"/>
      <c r="J863" s="52"/>
      <c r="K863" s="52"/>
      <c r="L863" s="52"/>
    </row>
    <row r="864">
      <c r="A864" s="77"/>
      <c r="B864" s="77"/>
      <c r="C864" s="52"/>
      <c r="D864" s="52"/>
      <c r="E864" s="52"/>
      <c r="F864" s="52"/>
      <c r="G864" s="52"/>
      <c r="H864" s="52"/>
      <c r="I864" s="52"/>
      <c r="J864" s="52"/>
      <c r="K864" s="52"/>
      <c r="L864" s="52"/>
    </row>
    <row r="865">
      <c r="A865" s="77"/>
      <c r="B865" s="77"/>
      <c r="C865" s="52"/>
      <c r="D865" s="52"/>
      <c r="E865" s="52"/>
      <c r="F865" s="52"/>
      <c r="G865" s="52"/>
      <c r="H865" s="52"/>
      <c r="I865" s="52"/>
      <c r="J865" s="52"/>
      <c r="K865" s="52"/>
      <c r="L865" s="52"/>
    </row>
    <row r="866">
      <c r="A866" s="77"/>
      <c r="B866" s="77"/>
      <c r="C866" s="52"/>
      <c r="D866" s="52"/>
      <c r="E866" s="52"/>
      <c r="F866" s="52"/>
      <c r="G866" s="52"/>
      <c r="H866" s="52"/>
      <c r="I866" s="52"/>
      <c r="J866" s="52"/>
      <c r="K866" s="52"/>
      <c r="L866" s="52"/>
    </row>
    <row r="867">
      <c r="A867" s="77"/>
      <c r="B867" s="77"/>
      <c r="C867" s="52"/>
      <c r="D867" s="52"/>
      <c r="E867" s="52"/>
      <c r="F867" s="52"/>
      <c r="G867" s="52"/>
      <c r="H867" s="52"/>
      <c r="I867" s="52"/>
      <c r="J867" s="52"/>
      <c r="K867" s="52"/>
      <c r="L867" s="52"/>
    </row>
    <row r="868">
      <c r="A868" s="77"/>
      <c r="B868" s="77"/>
      <c r="C868" s="52"/>
      <c r="D868" s="52"/>
      <c r="E868" s="52"/>
      <c r="F868" s="52"/>
      <c r="G868" s="52"/>
      <c r="H868" s="52"/>
      <c r="I868" s="52"/>
      <c r="J868" s="52"/>
      <c r="K868" s="52"/>
      <c r="L868" s="52"/>
    </row>
    <row r="869">
      <c r="A869" s="77"/>
      <c r="B869" s="77"/>
      <c r="C869" s="52"/>
      <c r="D869" s="52"/>
      <c r="E869" s="52"/>
      <c r="F869" s="52"/>
      <c r="G869" s="52"/>
      <c r="H869" s="52"/>
      <c r="I869" s="52"/>
      <c r="J869" s="52"/>
      <c r="K869" s="52"/>
      <c r="L869" s="52"/>
    </row>
    <row r="870">
      <c r="A870" s="77"/>
      <c r="B870" s="77"/>
      <c r="C870" s="52"/>
      <c r="D870" s="52"/>
      <c r="E870" s="52"/>
      <c r="F870" s="52"/>
      <c r="G870" s="52"/>
      <c r="H870" s="52"/>
      <c r="I870" s="52"/>
      <c r="J870" s="52"/>
      <c r="K870" s="52"/>
      <c r="L870" s="52"/>
    </row>
    <row r="871">
      <c r="A871" s="77"/>
      <c r="B871" s="77"/>
      <c r="C871" s="52"/>
      <c r="D871" s="52"/>
      <c r="E871" s="52"/>
      <c r="F871" s="52"/>
      <c r="G871" s="52"/>
      <c r="H871" s="52"/>
      <c r="I871" s="52"/>
      <c r="J871" s="52"/>
      <c r="K871" s="52"/>
      <c r="L871" s="52"/>
    </row>
    <row r="872">
      <c r="A872" s="77"/>
      <c r="B872" s="77"/>
      <c r="C872" s="52"/>
      <c r="D872" s="52"/>
      <c r="E872" s="52"/>
      <c r="F872" s="52"/>
      <c r="G872" s="52"/>
      <c r="H872" s="52"/>
      <c r="I872" s="52"/>
      <c r="J872" s="52"/>
      <c r="K872" s="52"/>
      <c r="L872" s="52"/>
    </row>
    <row r="873">
      <c r="A873" s="77"/>
      <c r="B873" s="77"/>
      <c r="C873" s="52"/>
      <c r="D873" s="52"/>
      <c r="E873" s="52"/>
      <c r="F873" s="52"/>
      <c r="G873" s="52"/>
      <c r="H873" s="52"/>
      <c r="I873" s="52"/>
      <c r="J873" s="52"/>
      <c r="K873" s="52"/>
      <c r="L873" s="52"/>
    </row>
    <row r="874">
      <c r="A874" s="77"/>
      <c r="B874" s="77"/>
      <c r="C874" s="52"/>
      <c r="D874" s="52"/>
      <c r="E874" s="52"/>
      <c r="F874" s="52"/>
      <c r="G874" s="52"/>
      <c r="H874" s="52"/>
      <c r="I874" s="52"/>
      <c r="J874" s="52"/>
      <c r="K874" s="52"/>
      <c r="L874" s="52"/>
    </row>
    <row r="875">
      <c r="A875" s="77"/>
      <c r="B875" s="77"/>
      <c r="C875" s="52"/>
      <c r="D875" s="52"/>
      <c r="E875" s="52"/>
      <c r="F875" s="52"/>
      <c r="G875" s="52"/>
      <c r="H875" s="52"/>
      <c r="I875" s="52"/>
      <c r="J875" s="52"/>
      <c r="K875" s="52"/>
      <c r="L875" s="52"/>
    </row>
    <row r="876">
      <c r="A876" s="77"/>
      <c r="B876" s="77"/>
      <c r="C876" s="52"/>
      <c r="D876" s="52"/>
      <c r="E876" s="52"/>
      <c r="F876" s="52"/>
      <c r="G876" s="52"/>
      <c r="H876" s="52"/>
      <c r="I876" s="52"/>
      <c r="J876" s="52"/>
      <c r="K876" s="52"/>
      <c r="L876" s="52"/>
    </row>
    <row r="877">
      <c r="A877" s="77"/>
      <c r="B877" s="77"/>
      <c r="C877" s="52"/>
      <c r="D877" s="52"/>
      <c r="E877" s="52"/>
      <c r="F877" s="52"/>
      <c r="G877" s="52"/>
      <c r="H877" s="52"/>
      <c r="I877" s="52"/>
      <c r="J877" s="52"/>
      <c r="K877" s="52"/>
      <c r="L877" s="52"/>
    </row>
    <row r="878">
      <c r="A878" s="77"/>
      <c r="B878" s="77"/>
      <c r="C878" s="52"/>
      <c r="D878" s="52"/>
      <c r="E878" s="52"/>
      <c r="F878" s="52"/>
      <c r="G878" s="52"/>
      <c r="H878" s="52"/>
      <c r="I878" s="52"/>
      <c r="J878" s="52"/>
      <c r="K878" s="52"/>
      <c r="L878" s="52"/>
    </row>
    <row r="879">
      <c r="A879" s="77"/>
      <c r="B879" s="77"/>
      <c r="C879" s="52"/>
      <c r="D879" s="52"/>
      <c r="E879" s="52"/>
      <c r="F879" s="52"/>
      <c r="G879" s="52"/>
      <c r="H879" s="52"/>
      <c r="I879" s="52"/>
      <c r="J879" s="52"/>
      <c r="K879" s="52"/>
      <c r="L879" s="52"/>
    </row>
    <row r="880">
      <c r="A880" s="77"/>
      <c r="B880" s="77"/>
      <c r="C880" s="52"/>
      <c r="D880" s="52"/>
      <c r="E880" s="52"/>
      <c r="F880" s="52"/>
      <c r="G880" s="52"/>
      <c r="H880" s="52"/>
      <c r="I880" s="52"/>
      <c r="J880" s="52"/>
      <c r="K880" s="52"/>
      <c r="L880" s="52"/>
    </row>
    <row r="881">
      <c r="A881" s="77"/>
      <c r="B881" s="77"/>
      <c r="C881" s="52"/>
      <c r="D881" s="52"/>
      <c r="E881" s="52"/>
      <c r="F881" s="52"/>
      <c r="G881" s="52"/>
      <c r="H881" s="52"/>
      <c r="I881" s="52"/>
      <c r="J881" s="52"/>
      <c r="K881" s="52"/>
      <c r="L881" s="52"/>
    </row>
    <row r="882">
      <c r="A882" s="77"/>
      <c r="B882" s="77"/>
      <c r="C882" s="52"/>
      <c r="D882" s="52"/>
      <c r="E882" s="52"/>
      <c r="F882" s="52"/>
      <c r="G882" s="52"/>
      <c r="H882" s="52"/>
      <c r="I882" s="52"/>
      <c r="J882" s="52"/>
      <c r="K882" s="52"/>
      <c r="L882" s="52"/>
    </row>
    <row r="883">
      <c r="A883" s="77"/>
      <c r="B883" s="77"/>
      <c r="C883" s="52"/>
      <c r="D883" s="52"/>
      <c r="E883" s="52"/>
      <c r="F883" s="52"/>
      <c r="G883" s="52"/>
      <c r="H883" s="52"/>
      <c r="I883" s="52"/>
      <c r="J883" s="52"/>
      <c r="K883" s="52"/>
      <c r="L883" s="52"/>
    </row>
    <row r="884">
      <c r="A884" s="77"/>
      <c r="B884" s="77"/>
      <c r="C884" s="52"/>
      <c r="D884" s="52"/>
      <c r="E884" s="52"/>
      <c r="F884" s="52"/>
      <c r="G884" s="52"/>
      <c r="H884" s="52"/>
      <c r="I884" s="52"/>
      <c r="J884" s="52"/>
      <c r="K884" s="52"/>
      <c r="L884" s="52"/>
    </row>
    <row r="885">
      <c r="A885" s="77"/>
      <c r="B885" s="77"/>
      <c r="C885" s="52"/>
      <c r="D885" s="52"/>
      <c r="E885" s="52"/>
      <c r="F885" s="52"/>
      <c r="G885" s="52"/>
      <c r="H885" s="52"/>
      <c r="I885" s="52"/>
      <c r="J885" s="52"/>
      <c r="K885" s="52"/>
      <c r="L885" s="52"/>
    </row>
    <row r="886">
      <c r="A886" s="77"/>
      <c r="B886" s="77"/>
      <c r="C886" s="52"/>
      <c r="D886" s="52"/>
      <c r="E886" s="52"/>
      <c r="F886" s="52"/>
      <c r="G886" s="52"/>
      <c r="H886" s="52"/>
      <c r="I886" s="52"/>
      <c r="J886" s="52"/>
      <c r="K886" s="52"/>
      <c r="L886" s="52"/>
    </row>
    <row r="887">
      <c r="A887" s="77"/>
      <c r="B887" s="77"/>
      <c r="C887" s="52"/>
      <c r="D887" s="52"/>
      <c r="E887" s="52"/>
      <c r="F887" s="52"/>
      <c r="G887" s="52"/>
      <c r="H887" s="52"/>
      <c r="I887" s="52"/>
      <c r="J887" s="52"/>
      <c r="K887" s="52"/>
      <c r="L887" s="52"/>
    </row>
    <row r="888">
      <c r="A888" s="77"/>
      <c r="B888" s="77"/>
      <c r="C888" s="52"/>
      <c r="D888" s="52"/>
      <c r="E888" s="52"/>
      <c r="F888" s="52"/>
      <c r="G888" s="52"/>
      <c r="H888" s="52"/>
      <c r="I888" s="52"/>
      <c r="J888" s="52"/>
      <c r="K888" s="52"/>
      <c r="L888" s="52"/>
    </row>
    <row r="889">
      <c r="A889" s="77"/>
      <c r="B889" s="77"/>
      <c r="C889" s="52"/>
      <c r="D889" s="52"/>
      <c r="E889" s="52"/>
      <c r="F889" s="52"/>
      <c r="G889" s="52"/>
      <c r="H889" s="52"/>
      <c r="I889" s="52"/>
      <c r="J889" s="52"/>
      <c r="K889" s="52"/>
      <c r="L889" s="52"/>
    </row>
    <row r="890">
      <c r="A890" s="77"/>
      <c r="B890" s="77"/>
      <c r="C890" s="52"/>
      <c r="D890" s="52"/>
      <c r="E890" s="52"/>
      <c r="F890" s="52"/>
      <c r="G890" s="52"/>
      <c r="H890" s="52"/>
      <c r="I890" s="52"/>
      <c r="J890" s="52"/>
      <c r="K890" s="52"/>
      <c r="L890" s="52"/>
    </row>
    <row r="891">
      <c r="A891" s="77"/>
      <c r="B891" s="77"/>
      <c r="C891" s="52"/>
      <c r="D891" s="52"/>
      <c r="E891" s="52"/>
      <c r="F891" s="52"/>
      <c r="G891" s="52"/>
      <c r="H891" s="52"/>
      <c r="I891" s="52"/>
      <c r="J891" s="52"/>
      <c r="K891" s="52"/>
      <c r="L891" s="52"/>
    </row>
    <row r="892">
      <c r="A892" s="77"/>
      <c r="B892" s="77"/>
      <c r="C892" s="52"/>
      <c r="D892" s="52"/>
      <c r="E892" s="52"/>
      <c r="F892" s="52"/>
      <c r="G892" s="52"/>
      <c r="H892" s="52"/>
      <c r="I892" s="52"/>
      <c r="J892" s="52"/>
      <c r="K892" s="52"/>
      <c r="L892" s="52"/>
    </row>
    <row r="893">
      <c r="A893" s="77"/>
      <c r="B893" s="77"/>
      <c r="C893" s="52"/>
      <c r="D893" s="52"/>
      <c r="E893" s="52"/>
      <c r="F893" s="52"/>
      <c r="G893" s="52"/>
      <c r="H893" s="52"/>
      <c r="I893" s="52"/>
      <c r="J893" s="52"/>
      <c r="K893" s="52"/>
      <c r="L893" s="52"/>
    </row>
    <row r="894">
      <c r="A894" s="77"/>
      <c r="B894" s="77"/>
      <c r="C894" s="52"/>
      <c r="D894" s="52"/>
      <c r="E894" s="52"/>
      <c r="F894" s="52"/>
      <c r="G894" s="52"/>
      <c r="H894" s="52"/>
      <c r="I894" s="52"/>
      <c r="J894" s="52"/>
      <c r="K894" s="52"/>
      <c r="L894" s="52"/>
    </row>
    <row r="895">
      <c r="A895" s="77"/>
      <c r="B895" s="77"/>
      <c r="C895" s="52"/>
      <c r="D895" s="52"/>
      <c r="E895" s="52"/>
      <c r="F895" s="52"/>
      <c r="G895" s="52"/>
      <c r="H895" s="52"/>
      <c r="I895" s="52"/>
      <c r="J895" s="52"/>
      <c r="K895" s="52"/>
      <c r="L895" s="52"/>
    </row>
    <row r="896">
      <c r="A896" s="77"/>
      <c r="B896" s="77"/>
      <c r="C896" s="52"/>
      <c r="D896" s="52"/>
      <c r="E896" s="52"/>
      <c r="F896" s="52"/>
      <c r="G896" s="52"/>
      <c r="H896" s="52"/>
      <c r="I896" s="52"/>
      <c r="J896" s="52"/>
      <c r="K896" s="52"/>
      <c r="L896" s="52"/>
    </row>
    <row r="897">
      <c r="A897" s="77"/>
      <c r="B897" s="77"/>
      <c r="C897" s="52"/>
      <c r="D897" s="52"/>
      <c r="E897" s="52"/>
      <c r="F897" s="52"/>
      <c r="G897" s="52"/>
      <c r="H897" s="52"/>
      <c r="I897" s="52"/>
      <c r="J897" s="52"/>
      <c r="K897" s="52"/>
      <c r="L897" s="52"/>
    </row>
    <row r="898">
      <c r="A898" s="77"/>
      <c r="B898" s="77"/>
      <c r="C898" s="52"/>
      <c r="D898" s="52"/>
      <c r="E898" s="52"/>
      <c r="F898" s="52"/>
      <c r="G898" s="52"/>
      <c r="H898" s="52"/>
      <c r="I898" s="52"/>
      <c r="J898" s="52"/>
      <c r="K898" s="52"/>
      <c r="L898" s="52"/>
    </row>
    <row r="899">
      <c r="A899" s="77"/>
      <c r="B899" s="77"/>
      <c r="C899" s="52"/>
      <c r="D899" s="52"/>
      <c r="E899" s="52"/>
      <c r="F899" s="52"/>
      <c r="G899" s="52"/>
      <c r="H899" s="52"/>
      <c r="I899" s="52"/>
      <c r="J899" s="52"/>
      <c r="K899" s="52"/>
      <c r="L899" s="52"/>
    </row>
    <row r="900">
      <c r="A900" s="77"/>
      <c r="B900" s="77"/>
      <c r="C900" s="52"/>
      <c r="D900" s="52"/>
      <c r="E900" s="52"/>
      <c r="F900" s="52"/>
      <c r="G900" s="52"/>
      <c r="H900" s="52"/>
      <c r="I900" s="52"/>
      <c r="J900" s="52"/>
      <c r="K900" s="52"/>
      <c r="L900" s="52"/>
    </row>
    <row r="901">
      <c r="A901" s="77"/>
      <c r="B901" s="77"/>
      <c r="C901" s="52"/>
      <c r="D901" s="52"/>
      <c r="E901" s="52"/>
      <c r="F901" s="52"/>
      <c r="G901" s="52"/>
      <c r="H901" s="52"/>
      <c r="I901" s="52"/>
      <c r="J901" s="52"/>
      <c r="K901" s="52"/>
      <c r="L901" s="52"/>
    </row>
    <row r="902">
      <c r="A902" s="77"/>
      <c r="B902" s="77"/>
      <c r="C902" s="52"/>
      <c r="D902" s="52"/>
      <c r="E902" s="52"/>
      <c r="F902" s="52"/>
      <c r="G902" s="52"/>
      <c r="H902" s="52"/>
      <c r="I902" s="52"/>
      <c r="J902" s="52"/>
      <c r="K902" s="52"/>
      <c r="L902" s="52"/>
    </row>
    <row r="903">
      <c r="A903" s="77"/>
      <c r="B903" s="77"/>
      <c r="C903" s="52"/>
      <c r="D903" s="52"/>
      <c r="E903" s="52"/>
      <c r="F903" s="52"/>
      <c r="G903" s="52"/>
      <c r="H903" s="52"/>
      <c r="I903" s="52"/>
      <c r="J903" s="52"/>
      <c r="K903" s="52"/>
      <c r="L903" s="52"/>
    </row>
    <row r="904">
      <c r="A904" s="77"/>
      <c r="B904" s="77"/>
      <c r="C904" s="52"/>
      <c r="D904" s="52"/>
      <c r="E904" s="52"/>
      <c r="F904" s="52"/>
      <c r="G904" s="52"/>
      <c r="H904" s="52"/>
      <c r="I904" s="52"/>
      <c r="J904" s="52"/>
      <c r="K904" s="52"/>
      <c r="L904" s="52"/>
    </row>
    <row r="905">
      <c r="A905" s="77"/>
      <c r="B905" s="77"/>
      <c r="C905" s="52"/>
      <c r="D905" s="52"/>
      <c r="E905" s="52"/>
      <c r="F905" s="52"/>
      <c r="G905" s="52"/>
      <c r="H905" s="52"/>
      <c r="I905" s="52"/>
      <c r="J905" s="52"/>
      <c r="K905" s="52"/>
      <c r="L905" s="52"/>
    </row>
    <row r="906">
      <c r="A906" s="77"/>
      <c r="B906" s="77"/>
      <c r="C906" s="52"/>
      <c r="D906" s="52"/>
      <c r="E906" s="52"/>
      <c r="F906" s="52"/>
      <c r="G906" s="52"/>
      <c r="H906" s="52"/>
      <c r="I906" s="52"/>
      <c r="J906" s="52"/>
      <c r="K906" s="52"/>
      <c r="L906" s="52"/>
    </row>
    <row r="907">
      <c r="A907" s="77"/>
      <c r="B907" s="77"/>
      <c r="C907" s="52"/>
      <c r="D907" s="52"/>
      <c r="E907" s="52"/>
      <c r="F907" s="52"/>
      <c r="G907" s="52"/>
      <c r="H907" s="52"/>
      <c r="I907" s="52"/>
      <c r="J907" s="52"/>
      <c r="K907" s="52"/>
      <c r="L907" s="52"/>
    </row>
    <row r="908">
      <c r="A908" s="77"/>
      <c r="B908" s="77"/>
      <c r="C908" s="52"/>
      <c r="D908" s="52"/>
      <c r="E908" s="52"/>
      <c r="F908" s="52"/>
      <c r="G908" s="52"/>
      <c r="H908" s="52"/>
      <c r="I908" s="52"/>
      <c r="J908" s="52"/>
      <c r="K908" s="52"/>
      <c r="L908" s="52"/>
    </row>
    <row r="909">
      <c r="A909" s="77"/>
      <c r="B909" s="77"/>
      <c r="C909" s="52"/>
      <c r="D909" s="52"/>
      <c r="E909" s="52"/>
      <c r="F909" s="52"/>
      <c r="G909" s="52"/>
      <c r="H909" s="52"/>
      <c r="I909" s="52"/>
      <c r="J909" s="52"/>
      <c r="K909" s="52"/>
      <c r="L909" s="52"/>
    </row>
    <row r="910">
      <c r="A910" s="77"/>
      <c r="B910" s="77"/>
      <c r="C910" s="52"/>
      <c r="D910" s="52"/>
      <c r="E910" s="52"/>
      <c r="F910" s="52"/>
      <c r="G910" s="52"/>
      <c r="H910" s="52"/>
      <c r="I910" s="52"/>
      <c r="J910" s="52"/>
      <c r="K910" s="52"/>
      <c r="L910" s="52"/>
    </row>
    <row r="911">
      <c r="A911" s="77"/>
      <c r="B911" s="77"/>
      <c r="C911" s="52"/>
      <c r="D911" s="52"/>
      <c r="E911" s="52"/>
      <c r="F911" s="52"/>
      <c r="G911" s="52"/>
      <c r="H911" s="52"/>
      <c r="I911" s="52"/>
      <c r="J911" s="52"/>
      <c r="K911" s="52"/>
      <c r="L911" s="52"/>
    </row>
    <row r="912">
      <c r="A912" s="77"/>
      <c r="B912" s="77"/>
      <c r="C912" s="52"/>
      <c r="D912" s="52"/>
      <c r="E912" s="52"/>
      <c r="F912" s="52"/>
      <c r="G912" s="52"/>
      <c r="H912" s="52"/>
      <c r="I912" s="52"/>
      <c r="J912" s="52"/>
      <c r="K912" s="52"/>
      <c r="L912" s="52"/>
    </row>
    <row r="913">
      <c r="A913" s="77"/>
      <c r="B913" s="77"/>
      <c r="C913" s="52"/>
      <c r="D913" s="52"/>
      <c r="E913" s="52"/>
      <c r="F913" s="52"/>
      <c r="G913" s="52"/>
      <c r="H913" s="52"/>
      <c r="I913" s="52"/>
      <c r="J913" s="52"/>
      <c r="K913" s="52"/>
      <c r="L913" s="52"/>
    </row>
    <row r="914">
      <c r="A914" s="77"/>
      <c r="B914" s="77"/>
      <c r="C914" s="52"/>
      <c r="D914" s="52"/>
      <c r="E914" s="52"/>
      <c r="F914" s="52"/>
      <c r="G914" s="52"/>
      <c r="H914" s="52"/>
      <c r="I914" s="52"/>
      <c r="J914" s="52"/>
      <c r="K914" s="52"/>
      <c r="L914" s="52"/>
    </row>
    <row r="915">
      <c r="A915" s="77"/>
      <c r="B915" s="77"/>
      <c r="C915" s="52"/>
      <c r="D915" s="52"/>
      <c r="E915" s="52"/>
      <c r="F915" s="52"/>
      <c r="G915" s="52"/>
      <c r="H915" s="52"/>
      <c r="I915" s="52"/>
      <c r="J915" s="52"/>
      <c r="K915" s="52"/>
      <c r="L915" s="52"/>
    </row>
    <row r="916">
      <c r="A916" s="77"/>
      <c r="B916" s="77"/>
      <c r="C916" s="52"/>
      <c r="D916" s="52"/>
      <c r="E916" s="52"/>
      <c r="F916" s="52"/>
      <c r="G916" s="52"/>
      <c r="H916" s="52"/>
      <c r="I916" s="52"/>
      <c r="J916" s="52"/>
      <c r="K916" s="52"/>
      <c r="L916" s="52"/>
    </row>
    <row r="917">
      <c r="A917" s="77"/>
      <c r="B917" s="77"/>
      <c r="C917" s="52"/>
      <c r="D917" s="52"/>
      <c r="E917" s="52"/>
      <c r="F917" s="52"/>
      <c r="G917" s="52"/>
      <c r="H917" s="52"/>
      <c r="I917" s="52"/>
      <c r="J917" s="52"/>
      <c r="K917" s="52"/>
      <c r="L917" s="52"/>
    </row>
    <row r="918">
      <c r="A918" s="77"/>
      <c r="B918" s="77"/>
      <c r="C918" s="52"/>
      <c r="D918" s="52"/>
      <c r="E918" s="52"/>
      <c r="F918" s="52"/>
      <c r="G918" s="52"/>
      <c r="H918" s="52"/>
      <c r="I918" s="52"/>
      <c r="J918" s="52"/>
      <c r="K918" s="52"/>
      <c r="L918" s="52"/>
    </row>
    <row r="919">
      <c r="A919" s="77"/>
      <c r="B919" s="77"/>
      <c r="C919" s="52"/>
      <c r="D919" s="52"/>
      <c r="E919" s="52"/>
      <c r="F919" s="52"/>
      <c r="G919" s="52"/>
      <c r="H919" s="52"/>
      <c r="I919" s="52"/>
      <c r="J919" s="52"/>
      <c r="K919" s="52"/>
      <c r="L919" s="52"/>
    </row>
    <row r="920">
      <c r="A920" s="77"/>
      <c r="B920" s="77"/>
      <c r="C920" s="52"/>
      <c r="D920" s="52"/>
      <c r="E920" s="52"/>
      <c r="F920" s="52"/>
      <c r="G920" s="52"/>
      <c r="H920" s="52"/>
      <c r="I920" s="52"/>
      <c r="J920" s="52"/>
      <c r="K920" s="52"/>
      <c r="L920" s="52"/>
    </row>
    <row r="921">
      <c r="A921" s="77"/>
      <c r="B921" s="77"/>
      <c r="C921" s="52"/>
      <c r="D921" s="52"/>
      <c r="E921" s="52"/>
      <c r="F921" s="52"/>
      <c r="G921" s="52"/>
      <c r="H921" s="52"/>
      <c r="I921" s="52"/>
      <c r="J921" s="52"/>
      <c r="K921" s="52"/>
      <c r="L921" s="52"/>
    </row>
    <row r="922">
      <c r="A922" s="77"/>
      <c r="B922" s="77"/>
      <c r="C922" s="52"/>
      <c r="D922" s="52"/>
      <c r="E922" s="52"/>
      <c r="F922" s="52"/>
      <c r="G922" s="52"/>
      <c r="H922" s="52"/>
      <c r="I922" s="52"/>
      <c r="J922" s="52"/>
      <c r="K922" s="52"/>
      <c r="L922" s="52"/>
    </row>
    <row r="923">
      <c r="A923" s="77"/>
      <c r="B923" s="77"/>
      <c r="C923" s="52"/>
      <c r="D923" s="52"/>
      <c r="E923" s="52"/>
      <c r="F923" s="52"/>
      <c r="G923" s="52"/>
      <c r="H923" s="52"/>
      <c r="I923" s="52"/>
      <c r="J923" s="52"/>
      <c r="K923" s="52"/>
      <c r="L923" s="52"/>
    </row>
    <row r="924">
      <c r="A924" s="77"/>
      <c r="B924" s="77"/>
      <c r="C924" s="52"/>
      <c r="D924" s="52"/>
      <c r="E924" s="52"/>
      <c r="F924" s="52"/>
      <c r="G924" s="52"/>
      <c r="H924" s="52"/>
      <c r="I924" s="52"/>
      <c r="J924" s="52"/>
      <c r="K924" s="52"/>
      <c r="L924" s="52"/>
    </row>
    <row r="925">
      <c r="A925" s="77"/>
      <c r="B925" s="77"/>
      <c r="C925" s="52"/>
      <c r="D925" s="52"/>
      <c r="E925" s="52"/>
      <c r="F925" s="52"/>
      <c r="G925" s="52"/>
      <c r="H925" s="52"/>
      <c r="I925" s="52"/>
      <c r="J925" s="52"/>
      <c r="K925" s="52"/>
      <c r="L925" s="52"/>
    </row>
    <row r="926">
      <c r="A926" s="77"/>
      <c r="B926" s="77"/>
      <c r="C926" s="52"/>
      <c r="D926" s="52"/>
      <c r="E926" s="52"/>
      <c r="F926" s="52"/>
      <c r="G926" s="52"/>
      <c r="H926" s="52"/>
      <c r="I926" s="52"/>
      <c r="J926" s="52"/>
      <c r="K926" s="52"/>
      <c r="L926" s="52"/>
    </row>
    <row r="927">
      <c r="A927" s="77"/>
      <c r="B927" s="77"/>
      <c r="C927" s="52"/>
      <c r="D927" s="52"/>
      <c r="E927" s="52"/>
      <c r="F927" s="52"/>
      <c r="G927" s="52"/>
      <c r="H927" s="52"/>
      <c r="I927" s="52"/>
      <c r="J927" s="52"/>
      <c r="K927" s="52"/>
      <c r="L927" s="52"/>
    </row>
    <row r="928">
      <c r="A928" s="77"/>
      <c r="B928" s="77"/>
      <c r="C928" s="52"/>
      <c r="D928" s="52"/>
      <c r="E928" s="52"/>
      <c r="F928" s="52"/>
      <c r="G928" s="52"/>
      <c r="H928" s="52"/>
      <c r="I928" s="52"/>
      <c r="J928" s="52"/>
      <c r="K928" s="52"/>
      <c r="L928" s="52"/>
    </row>
    <row r="929">
      <c r="A929" s="77"/>
      <c r="B929" s="77"/>
      <c r="C929" s="52"/>
      <c r="D929" s="52"/>
      <c r="E929" s="52"/>
      <c r="F929" s="52"/>
      <c r="G929" s="52"/>
      <c r="H929" s="52"/>
      <c r="I929" s="52"/>
      <c r="J929" s="52"/>
      <c r="K929" s="52"/>
      <c r="L929" s="52"/>
    </row>
    <row r="930">
      <c r="A930" s="77"/>
      <c r="B930" s="77"/>
      <c r="C930" s="52"/>
      <c r="D930" s="52"/>
      <c r="E930" s="52"/>
      <c r="F930" s="52"/>
      <c r="G930" s="52"/>
      <c r="H930" s="52"/>
      <c r="I930" s="52"/>
      <c r="J930" s="52"/>
      <c r="K930" s="52"/>
      <c r="L930" s="52"/>
    </row>
    <row r="931">
      <c r="A931" s="77"/>
      <c r="B931" s="77"/>
      <c r="C931" s="52"/>
      <c r="D931" s="52"/>
      <c r="E931" s="52"/>
      <c r="F931" s="52"/>
      <c r="G931" s="52"/>
      <c r="H931" s="52"/>
      <c r="I931" s="52"/>
      <c r="J931" s="52"/>
      <c r="K931" s="52"/>
      <c r="L931" s="52"/>
    </row>
    <row r="932">
      <c r="A932" s="77"/>
      <c r="B932" s="77"/>
      <c r="C932" s="52"/>
      <c r="D932" s="52"/>
      <c r="E932" s="52"/>
      <c r="F932" s="52"/>
      <c r="G932" s="52"/>
      <c r="H932" s="52"/>
      <c r="I932" s="52"/>
      <c r="J932" s="52"/>
      <c r="K932" s="52"/>
      <c r="L932" s="52"/>
    </row>
    <row r="933">
      <c r="A933" s="77"/>
      <c r="B933" s="77"/>
      <c r="C933" s="52"/>
      <c r="D933" s="52"/>
      <c r="E933" s="52"/>
      <c r="F933" s="52"/>
      <c r="G933" s="52"/>
      <c r="H933" s="52"/>
      <c r="I933" s="52"/>
      <c r="J933" s="52"/>
      <c r="K933" s="52"/>
      <c r="L933" s="52"/>
    </row>
    <row r="934">
      <c r="A934" s="77"/>
      <c r="B934" s="77"/>
      <c r="C934" s="52"/>
      <c r="D934" s="52"/>
      <c r="E934" s="52"/>
      <c r="F934" s="52"/>
      <c r="G934" s="52"/>
      <c r="H934" s="52"/>
      <c r="I934" s="52"/>
      <c r="J934" s="52"/>
      <c r="K934" s="52"/>
      <c r="L934" s="52"/>
    </row>
    <row r="935">
      <c r="A935" s="77"/>
      <c r="B935" s="77"/>
      <c r="C935" s="52"/>
      <c r="D935" s="52"/>
      <c r="E935" s="52"/>
      <c r="F935" s="52"/>
      <c r="G935" s="52"/>
      <c r="H935" s="52"/>
      <c r="I935" s="52"/>
      <c r="J935" s="52"/>
      <c r="K935" s="52"/>
      <c r="L935" s="52"/>
    </row>
    <row r="936">
      <c r="A936" s="77"/>
      <c r="B936" s="77"/>
      <c r="C936" s="52"/>
      <c r="D936" s="52"/>
      <c r="E936" s="52"/>
      <c r="F936" s="52"/>
      <c r="G936" s="52"/>
      <c r="H936" s="52"/>
      <c r="I936" s="52"/>
      <c r="J936" s="52"/>
      <c r="K936" s="52"/>
      <c r="L936" s="52"/>
    </row>
    <row r="937">
      <c r="A937" s="77"/>
      <c r="B937" s="77"/>
      <c r="C937" s="52"/>
      <c r="D937" s="52"/>
      <c r="E937" s="52"/>
      <c r="F937" s="52"/>
      <c r="G937" s="52"/>
      <c r="H937" s="52"/>
      <c r="I937" s="52"/>
      <c r="J937" s="52"/>
      <c r="K937" s="52"/>
      <c r="L937" s="52"/>
    </row>
    <row r="938">
      <c r="A938" s="77"/>
      <c r="B938" s="77"/>
      <c r="C938" s="52"/>
      <c r="D938" s="52"/>
      <c r="E938" s="52"/>
      <c r="F938" s="52"/>
      <c r="G938" s="52"/>
      <c r="H938" s="52"/>
      <c r="I938" s="52"/>
      <c r="J938" s="52"/>
      <c r="K938" s="52"/>
      <c r="L938" s="52"/>
    </row>
    <row r="939">
      <c r="A939" s="77"/>
      <c r="B939" s="77"/>
      <c r="C939" s="52"/>
      <c r="D939" s="52"/>
      <c r="E939" s="52"/>
      <c r="F939" s="52"/>
      <c r="G939" s="52"/>
      <c r="H939" s="52"/>
      <c r="I939" s="52"/>
      <c r="J939" s="52"/>
      <c r="K939" s="52"/>
      <c r="L939" s="52"/>
    </row>
    <row r="940">
      <c r="A940" s="77"/>
      <c r="B940" s="77"/>
      <c r="C940" s="52"/>
      <c r="D940" s="52"/>
      <c r="E940" s="52"/>
      <c r="F940" s="52"/>
      <c r="G940" s="52"/>
      <c r="H940" s="52"/>
      <c r="I940" s="52"/>
      <c r="J940" s="52"/>
      <c r="K940" s="52"/>
      <c r="L940" s="52"/>
    </row>
    <row r="941">
      <c r="A941" s="77"/>
      <c r="B941" s="77"/>
      <c r="C941" s="52"/>
      <c r="D941" s="52"/>
      <c r="E941" s="52"/>
      <c r="F941" s="52"/>
      <c r="G941" s="52"/>
      <c r="H941" s="52"/>
      <c r="I941" s="52"/>
      <c r="J941" s="52"/>
      <c r="K941" s="52"/>
      <c r="L941" s="52"/>
    </row>
    <row r="942">
      <c r="A942" s="77"/>
      <c r="B942" s="77"/>
      <c r="C942" s="52"/>
      <c r="D942" s="52"/>
      <c r="E942" s="52"/>
      <c r="F942" s="52"/>
      <c r="G942" s="52"/>
      <c r="H942" s="52"/>
      <c r="I942" s="52"/>
      <c r="J942" s="52"/>
      <c r="K942" s="52"/>
      <c r="L942" s="52"/>
    </row>
    <row r="943">
      <c r="A943" s="77"/>
      <c r="B943" s="77"/>
      <c r="C943" s="52"/>
      <c r="D943" s="52"/>
      <c r="E943" s="52"/>
      <c r="F943" s="52"/>
      <c r="G943" s="52"/>
      <c r="H943" s="52"/>
      <c r="I943" s="52"/>
      <c r="J943" s="52"/>
      <c r="K943" s="52"/>
      <c r="L943" s="52"/>
    </row>
    <row r="944">
      <c r="A944" s="77"/>
      <c r="B944" s="77"/>
      <c r="C944" s="52"/>
      <c r="D944" s="52"/>
      <c r="E944" s="52"/>
      <c r="F944" s="52"/>
      <c r="G944" s="52"/>
      <c r="H944" s="52"/>
      <c r="I944" s="52"/>
      <c r="J944" s="52"/>
      <c r="K944" s="52"/>
      <c r="L944" s="52"/>
    </row>
    <row r="945">
      <c r="A945" s="77"/>
      <c r="B945" s="77"/>
      <c r="C945" s="52"/>
      <c r="D945" s="52"/>
      <c r="E945" s="52"/>
      <c r="F945" s="52"/>
      <c r="G945" s="52"/>
      <c r="H945" s="52"/>
      <c r="I945" s="52"/>
      <c r="J945" s="52"/>
      <c r="K945" s="52"/>
      <c r="L945" s="52"/>
    </row>
    <row r="946">
      <c r="A946" s="77"/>
      <c r="B946" s="77"/>
      <c r="C946" s="52"/>
      <c r="D946" s="52"/>
      <c r="E946" s="52"/>
      <c r="F946" s="52"/>
      <c r="G946" s="52"/>
      <c r="H946" s="52"/>
      <c r="I946" s="52"/>
      <c r="J946" s="52"/>
      <c r="K946" s="52"/>
      <c r="L946" s="52"/>
    </row>
    <row r="947">
      <c r="A947" s="77"/>
      <c r="B947" s="77"/>
      <c r="C947" s="52"/>
      <c r="D947" s="52"/>
      <c r="E947" s="52"/>
      <c r="F947" s="52"/>
      <c r="G947" s="52"/>
      <c r="H947" s="52"/>
      <c r="I947" s="52"/>
      <c r="J947" s="52"/>
      <c r="K947" s="52"/>
      <c r="L947" s="52"/>
    </row>
    <row r="948">
      <c r="A948" s="77"/>
      <c r="B948" s="77"/>
      <c r="C948" s="52"/>
      <c r="D948" s="52"/>
      <c r="E948" s="52"/>
      <c r="F948" s="52"/>
      <c r="G948" s="52"/>
      <c r="H948" s="52"/>
      <c r="I948" s="52"/>
      <c r="J948" s="52"/>
      <c r="K948" s="52"/>
      <c r="L948" s="52"/>
    </row>
    <row r="949">
      <c r="A949" s="77"/>
      <c r="B949" s="77"/>
      <c r="C949" s="52"/>
      <c r="D949" s="52"/>
      <c r="E949" s="52"/>
      <c r="F949" s="52"/>
      <c r="G949" s="52"/>
      <c r="H949" s="52"/>
      <c r="I949" s="52"/>
      <c r="J949" s="52"/>
      <c r="K949" s="52"/>
      <c r="L949" s="52"/>
    </row>
    <row r="950">
      <c r="A950" s="77"/>
      <c r="B950" s="77"/>
      <c r="C950" s="52"/>
      <c r="D950" s="52"/>
      <c r="E950" s="52"/>
      <c r="F950" s="52"/>
      <c r="G950" s="52"/>
      <c r="H950" s="52"/>
      <c r="I950" s="52"/>
      <c r="J950" s="52"/>
      <c r="K950" s="52"/>
      <c r="L950" s="52"/>
    </row>
    <row r="951">
      <c r="A951" s="77"/>
      <c r="B951" s="77"/>
      <c r="C951" s="52"/>
      <c r="D951" s="52"/>
      <c r="E951" s="52"/>
      <c r="F951" s="52"/>
      <c r="G951" s="52"/>
      <c r="H951" s="52"/>
      <c r="I951" s="52"/>
      <c r="J951" s="52"/>
      <c r="K951" s="52"/>
      <c r="L951" s="52"/>
    </row>
    <row r="952">
      <c r="A952" s="77"/>
      <c r="B952" s="77"/>
      <c r="C952" s="52"/>
      <c r="D952" s="52"/>
      <c r="E952" s="52"/>
      <c r="F952" s="52"/>
      <c r="G952" s="52"/>
      <c r="H952" s="52"/>
      <c r="I952" s="52"/>
      <c r="J952" s="52"/>
      <c r="K952" s="52"/>
      <c r="L952" s="52"/>
    </row>
    <row r="953">
      <c r="A953" s="77"/>
      <c r="B953" s="77"/>
      <c r="C953" s="52"/>
      <c r="D953" s="52"/>
      <c r="E953" s="52"/>
      <c r="F953" s="52"/>
      <c r="G953" s="52"/>
      <c r="H953" s="52"/>
      <c r="I953" s="52"/>
      <c r="J953" s="52"/>
      <c r="K953" s="52"/>
      <c r="L953" s="52"/>
    </row>
    <row r="954">
      <c r="A954" s="77"/>
      <c r="B954" s="77"/>
      <c r="C954" s="52"/>
      <c r="D954" s="52"/>
      <c r="E954" s="52"/>
      <c r="F954" s="52"/>
      <c r="G954" s="52"/>
      <c r="H954" s="52"/>
      <c r="I954" s="52"/>
      <c r="J954" s="52"/>
      <c r="K954" s="52"/>
      <c r="L954" s="52"/>
    </row>
    <row r="955">
      <c r="A955" s="77"/>
      <c r="B955" s="77"/>
      <c r="C955" s="52"/>
      <c r="D955" s="52"/>
      <c r="E955" s="52"/>
      <c r="F955" s="52"/>
      <c r="G955" s="52"/>
      <c r="H955" s="52"/>
      <c r="I955" s="52"/>
      <c r="J955" s="52"/>
      <c r="K955" s="52"/>
      <c r="L955" s="52"/>
    </row>
    <row r="956">
      <c r="A956" s="77"/>
      <c r="B956" s="77"/>
      <c r="C956" s="52"/>
      <c r="D956" s="52"/>
      <c r="E956" s="52"/>
      <c r="F956" s="52"/>
      <c r="G956" s="52"/>
      <c r="H956" s="52"/>
      <c r="I956" s="52"/>
      <c r="J956" s="52"/>
      <c r="K956" s="52"/>
      <c r="L956" s="52"/>
    </row>
    <row r="957">
      <c r="A957" s="77"/>
      <c r="B957" s="77"/>
      <c r="C957" s="52"/>
      <c r="D957" s="52"/>
      <c r="E957" s="52"/>
      <c r="F957" s="52"/>
      <c r="G957" s="52"/>
      <c r="H957" s="52"/>
      <c r="I957" s="52"/>
      <c r="J957" s="52"/>
      <c r="K957" s="52"/>
      <c r="L957" s="52"/>
    </row>
    <row r="958">
      <c r="A958" s="77"/>
      <c r="B958" s="77"/>
      <c r="C958" s="52"/>
      <c r="D958" s="52"/>
      <c r="E958" s="52"/>
      <c r="F958" s="52"/>
      <c r="G958" s="52"/>
      <c r="H958" s="52"/>
      <c r="I958" s="52"/>
      <c r="J958" s="52"/>
      <c r="K958" s="52"/>
      <c r="L958" s="52"/>
    </row>
    <row r="959">
      <c r="A959" s="77"/>
      <c r="B959" s="77"/>
      <c r="C959" s="52"/>
      <c r="D959" s="52"/>
      <c r="E959" s="52"/>
      <c r="F959" s="52"/>
      <c r="G959" s="52"/>
      <c r="H959" s="52"/>
      <c r="I959" s="52"/>
      <c r="J959" s="52"/>
      <c r="K959" s="52"/>
      <c r="L959" s="52"/>
    </row>
    <row r="960">
      <c r="A960" s="77"/>
      <c r="B960" s="77"/>
      <c r="C960" s="52"/>
      <c r="D960" s="52"/>
      <c r="E960" s="52"/>
      <c r="F960" s="52"/>
      <c r="G960" s="52"/>
      <c r="H960" s="52"/>
      <c r="I960" s="52"/>
      <c r="J960" s="52"/>
      <c r="K960" s="52"/>
      <c r="L960" s="52"/>
    </row>
    <row r="961">
      <c r="A961" s="77"/>
      <c r="B961" s="77"/>
      <c r="C961" s="52"/>
      <c r="D961" s="52"/>
      <c r="E961" s="52"/>
      <c r="F961" s="52"/>
      <c r="G961" s="52"/>
      <c r="H961" s="52"/>
      <c r="I961" s="52"/>
      <c r="J961" s="52"/>
      <c r="K961" s="52"/>
      <c r="L961" s="52"/>
    </row>
    <row r="962">
      <c r="A962" s="77"/>
      <c r="B962" s="77"/>
      <c r="C962" s="52"/>
      <c r="D962" s="52"/>
      <c r="E962" s="52"/>
      <c r="F962" s="52"/>
      <c r="G962" s="52"/>
      <c r="H962" s="52"/>
      <c r="I962" s="52"/>
      <c r="J962" s="52"/>
      <c r="K962" s="52"/>
      <c r="L962" s="52"/>
    </row>
    <row r="963">
      <c r="A963" s="77"/>
      <c r="B963" s="77"/>
      <c r="C963" s="52"/>
      <c r="D963" s="52"/>
      <c r="E963" s="52"/>
      <c r="F963" s="52"/>
      <c r="G963" s="52"/>
      <c r="H963" s="52"/>
      <c r="I963" s="52"/>
      <c r="J963" s="52"/>
      <c r="K963" s="52"/>
      <c r="L963" s="52"/>
    </row>
    <row r="964">
      <c r="A964" s="77"/>
      <c r="B964" s="77"/>
      <c r="C964" s="52"/>
      <c r="D964" s="52"/>
      <c r="E964" s="52"/>
      <c r="F964" s="52"/>
      <c r="G964" s="52"/>
      <c r="H964" s="52"/>
      <c r="I964" s="52"/>
      <c r="J964" s="52"/>
      <c r="K964" s="52"/>
      <c r="L964" s="52"/>
    </row>
    <row r="965">
      <c r="A965" s="77"/>
      <c r="B965" s="77"/>
      <c r="C965" s="52"/>
      <c r="D965" s="52"/>
      <c r="E965" s="52"/>
      <c r="F965" s="52"/>
      <c r="G965" s="52"/>
      <c r="H965" s="52"/>
      <c r="I965" s="52"/>
      <c r="J965" s="52"/>
      <c r="K965" s="52"/>
      <c r="L965" s="52"/>
    </row>
    <row r="966">
      <c r="A966" s="77"/>
      <c r="B966" s="77"/>
      <c r="C966" s="52"/>
      <c r="D966" s="52"/>
      <c r="E966" s="52"/>
      <c r="F966" s="52"/>
      <c r="G966" s="52"/>
      <c r="H966" s="52"/>
      <c r="I966" s="52"/>
      <c r="J966" s="52"/>
      <c r="K966" s="52"/>
      <c r="L966" s="52"/>
    </row>
    <row r="967">
      <c r="A967" s="77"/>
      <c r="B967" s="77"/>
      <c r="C967" s="52"/>
      <c r="D967" s="52"/>
      <c r="E967" s="52"/>
      <c r="F967" s="52"/>
      <c r="G967" s="52"/>
      <c r="H967" s="52"/>
      <c r="I967" s="52"/>
      <c r="J967" s="52"/>
      <c r="K967" s="52"/>
      <c r="L967" s="52"/>
    </row>
    <row r="968">
      <c r="A968" s="77"/>
      <c r="B968" s="77"/>
      <c r="C968" s="52"/>
      <c r="D968" s="52"/>
      <c r="E968" s="52"/>
      <c r="F968" s="52"/>
      <c r="G968" s="52"/>
      <c r="H968" s="52"/>
      <c r="I968" s="52"/>
      <c r="J968" s="52"/>
      <c r="K968" s="52"/>
      <c r="L968" s="52"/>
    </row>
    <row r="969">
      <c r="A969" s="77"/>
      <c r="B969" s="77"/>
      <c r="C969" s="52"/>
      <c r="D969" s="52"/>
      <c r="E969" s="52"/>
      <c r="F969" s="52"/>
      <c r="G969" s="52"/>
      <c r="H969" s="52"/>
      <c r="I969" s="52"/>
      <c r="J969" s="52"/>
      <c r="K969" s="52"/>
      <c r="L969" s="52"/>
    </row>
    <row r="970">
      <c r="A970" s="77"/>
      <c r="B970" s="77"/>
      <c r="C970" s="52"/>
      <c r="D970" s="52"/>
      <c r="E970" s="52"/>
      <c r="F970" s="52"/>
      <c r="G970" s="52"/>
      <c r="H970" s="52"/>
      <c r="I970" s="52"/>
      <c r="J970" s="52"/>
      <c r="K970" s="52"/>
      <c r="L970" s="52"/>
    </row>
    <row r="971">
      <c r="A971" s="77"/>
      <c r="B971" s="77"/>
      <c r="C971" s="52"/>
      <c r="D971" s="52"/>
      <c r="E971" s="52"/>
      <c r="F971" s="52"/>
      <c r="G971" s="52"/>
      <c r="H971" s="52"/>
      <c r="I971" s="52"/>
      <c r="J971" s="52"/>
      <c r="K971" s="52"/>
      <c r="L971" s="52"/>
    </row>
    <row r="972">
      <c r="A972" s="77"/>
      <c r="B972" s="77"/>
      <c r="C972" s="52"/>
      <c r="D972" s="52"/>
      <c r="E972" s="52"/>
      <c r="F972" s="52"/>
      <c r="G972" s="52"/>
      <c r="H972" s="52"/>
      <c r="I972" s="52"/>
      <c r="J972" s="52"/>
      <c r="K972" s="52"/>
      <c r="L972" s="52"/>
    </row>
    <row r="973">
      <c r="A973" s="77"/>
      <c r="B973" s="77"/>
      <c r="C973" s="52"/>
      <c r="D973" s="52"/>
      <c r="E973" s="52"/>
      <c r="F973" s="52"/>
      <c r="G973" s="52"/>
      <c r="H973" s="52"/>
      <c r="I973" s="52"/>
      <c r="J973" s="52"/>
      <c r="K973" s="52"/>
      <c r="L973" s="52"/>
    </row>
    <row r="974">
      <c r="A974" s="77"/>
      <c r="B974" s="77"/>
      <c r="C974" s="52"/>
      <c r="D974" s="52"/>
      <c r="E974" s="52"/>
      <c r="F974" s="52"/>
      <c r="G974" s="52"/>
      <c r="H974" s="52"/>
      <c r="I974" s="52"/>
      <c r="J974" s="52"/>
      <c r="K974" s="52"/>
      <c r="L974" s="52"/>
    </row>
    <row r="975">
      <c r="A975" s="77"/>
      <c r="B975" s="77"/>
      <c r="C975" s="52"/>
      <c r="D975" s="52"/>
      <c r="E975" s="52"/>
      <c r="F975" s="52"/>
      <c r="G975" s="52"/>
      <c r="H975" s="52"/>
      <c r="I975" s="52"/>
      <c r="J975" s="52"/>
      <c r="K975" s="52"/>
      <c r="L975" s="52"/>
    </row>
    <row r="976">
      <c r="A976" s="77"/>
      <c r="B976" s="77"/>
      <c r="C976" s="52"/>
      <c r="D976" s="52"/>
      <c r="E976" s="52"/>
      <c r="F976" s="52"/>
      <c r="G976" s="52"/>
      <c r="H976" s="52"/>
      <c r="I976" s="52"/>
      <c r="J976" s="52"/>
      <c r="K976" s="52"/>
      <c r="L976" s="52"/>
    </row>
    <row r="977">
      <c r="A977" s="77"/>
      <c r="B977" s="77"/>
      <c r="C977" s="52"/>
      <c r="D977" s="52"/>
      <c r="E977" s="52"/>
      <c r="F977" s="52"/>
      <c r="G977" s="52"/>
      <c r="H977" s="52"/>
      <c r="I977" s="52"/>
      <c r="J977" s="52"/>
      <c r="K977" s="52"/>
      <c r="L977" s="52"/>
    </row>
    <row r="978">
      <c r="A978" s="77"/>
      <c r="B978" s="77"/>
      <c r="C978" s="52"/>
      <c r="D978" s="52"/>
      <c r="E978" s="52"/>
      <c r="F978" s="52"/>
      <c r="G978" s="52"/>
      <c r="H978" s="52"/>
      <c r="I978" s="52"/>
      <c r="J978" s="52"/>
      <c r="K978" s="52"/>
      <c r="L978" s="52"/>
    </row>
    <row r="979">
      <c r="A979" s="77"/>
      <c r="B979" s="77"/>
      <c r="C979" s="52"/>
      <c r="D979" s="52"/>
      <c r="E979" s="52"/>
      <c r="F979" s="52"/>
      <c r="G979" s="52"/>
      <c r="H979" s="52"/>
      <c r="I979" s="52"/>
      <c r="J979" s="52"/>
      <c r="K979" s="52"/>
      <c r="L979" s="52"/>
    </row>
    <row r="980">
      <c r="A980" s="77"/>
      <c r="B980" s="77"/>
      <c r="C980" s="52"/>
      <c r="D980" s="52"/>
      <c r="E980" s="52"/>
      <c r="F980" s="52"/>
      <c r="G980" s="52"/>
      <c r="H980" s="52"/>
      <c r="I980" s="52"/>
      <c r="J980" s="52"/>
      <c r="K980" s="52"/>
      <c r="L980" s="52"/>
    </row>
    <row r="981">
      <c r="A981" s="77"/>
      <c r="B981" s="77"/>
      <c r="C981" s="52"/>
      <c r="D981" s="52"/>
      <c r="E981" s="52"/>
      <c r="F981" s="52"/>
      <c r="G981" s="52"/>
      <c r="H981" s="52"/>
      <c r="I981" s="52"/>
      <c r="J981" s="52"/>
      <c r="K981" s="52"/>
      <c r="L981" s="52"/>
    </row>
    <row r="982">
      <c r="A982" s="77"/>
      <c r="B982" s="77"/>
      <c r="C982" s="52"/>
      <c r="D982" s="52"/>
      <c r="E982" s="52"/>
      <c r="F982" s="52"/>
      <c r="G982" s="52"/>
      <c r="H982" s="52"/>
      <c r="I982" s="52"/>
      <c r="J982" s="52"/>
      <c r="K982" s="52"/>
      <c r="L982" s="52"/>
    </row>
    <row r="983">
      <c r="A983" s="77"/>
      <c r="B983" s="77"/>
      <c r="C983" s="52"/>
      <c r="D983" s="52"/>
      <c r="E983" s="52"/>
      <c r="F983" s="52"/>
      <c r="G983" s="52"/>
      <c r="H983" s="52"/>
      <c r="I983" s="52"/>
      <c r="J983" s="52"/>
      <c r="K983" s="52"/>
      <c r="L983" s="52"/>
    </row>
    <row r="984">
      <c r="A984" s="77"/>
      <c r="B984" s="77"/>
      <c r="C984" s="52"/>
      <c r="D984" s="52"/>
      <c r="E984" s="52"/>
      <c r="F984" s="52"/>
      <c r="G984" s="52"/>
      <c r="H984" s="52"/>
      <c r="I984" s="52"/>
      <c r="J984" s="52"/>
      <c r="K984" s="52"/>
      <c r="L984" s="52"/>
    </row>
    <row r="985">
      <c r="A985" s="77"/>
      <c r="B985" s="77"/>
      <c r="C985" s="52"/>
      <c r="D985" s="52"/>
      <c r="E985" s="52"/>
      <c r="F985" s="52"/>
      <c r="G985" s="52"/>
      <c r="H985" s="52"/>
      <c r="I985" s="52"/>
      <c r="J985" s="52"/>
      <c r="K985" s="52"/>
      <c r="L985" s="52"/>
    </row>
    <row r="986">
      <c r="A986" s="77"/>
      <c r="B986" s="77"/>
      <c r="C986" s="52"/>
      <c r="D986" s="52"/>
      <c r="E986" s="52"/>
      <c r="F986" s="52"/>
      <c r="G986" s="52"/>
      <c r="H986" s="52"/>
      <c r="I986" s="52"/>
      <c r="J986" s="52"/>
      <c r="K986" s="52"/>
      <c r="L986" s="52"/>
    </row>
    <row r="987">
      <c r="A987" s="77"/>
      <c r="B987" s="77"/>
      <c r="C987" s="52"/>
      <c r="D987" s="52"/>
      <c r="E987" s="52"/>
      <c r="F987" s="52"/>
      <c r="G987" s="52"/>
      <c r="H987" s="52"/>
      <c r="I987" s="52"/>
      <c r="J987" s="52"/>
      <c r="K987" s="52"/>
      <c r="L987" s="52"/>
    </row>
    <row r="988">
      <c r="A988" s="77"/>
      <c r="B988" s="77"/>
      <c r="C988" s="52"/>
      <c r="D988" s="52"/>
      <c r="E988" s="52"/>
      <c r="F988" s="52"/>
      <c r="G988" s="52"/>
      <c r="H988" s="52"/>
      <c r="I988" s="52"/>
      <c r="J988" s="52"/>
      <c r="K988" s="52"/>
      <c r="L988" s="52"/>
    </row>
    <row r="989">
      <c r="A989" s="77"/>
      <c r="B989" s="77"/>
      <c r="C989" s="52"/>
      <c r="D989" s="52"/>
      <c r="E989" s="52"/>
      <c r="F989" s="52"/>
      <c r="G989" s="52"/>
      <c r="H989" s="52"/>
      <c r="I989" s="52"/>
      <c r="J989" s="52"/>
      <c r="K989" s="52"/>
      <c r="L989" s="52"/>
    </row>
    <row r="990">
      <c r="A990" s="77"/>
      <c r="B990" s="77"/>
      <c r="C990" s="52"/>
      <c r="D990" s="52"/>
      <c r="E990" s="52"/>
      <c r="F990" s="52"/>
      <c r="G990" s="52"/>
      <c r="H990" s="52"/>
      <c r="I990" s="52"/>
      <c r="J990" s="52"/>
      <c r="K990" s="52"/>
      <c r="L990" s="52"/>
    </row>
    <row r="991">
      <c r="A991" s="77"/>
      <c r="B991" s="77"/>
      <c r="C991" s="52"/>
      <c r="D991" s="52"/>
      <c r="E991" s="52"/>
      <c r="F991" s="52"/>
      <c r="G991" s="52"/>
      <c r="H991" s="52"/>
      <c r="I991" s="52"/>
      <c r="J991" s="52"/>
      <c r="K991" s="52"/>
      <c r="L991" s="52"/>
    </row>
    <row r="992">
      <c r="A992" s="77"/>
      <c r="B992" s="77"/>
      <c r="C992" s="52"/>
      <c r="D992" s="52"/>
      <c r="E992" s="52"/>
      <c r="F992" s="52"/>
      <c r="G992" s="52"/>
      <c r="H992" s="52"/>
      <c r="I992" s="52"/>
      <c r="J992" s="52"/>
      <c r="K992" s="52"/>
      <c r="L992" s="52"/>
    </row>
    <row r="993">
      <c r="A993" s="77"/>
      <c r="B993" s="77"/>
      <c r="C993" s="52"/>
      <c r="D993" s="52"/>
      <c r="E993" s="52"/>
      <c r="F993" s="52"/>
      <c r="G993" s="52"/>
      <c r="H993" s="52"/>
      <c r="I993" s="52"/>
      <c r="J993" s="52"/>
      <c r="K993" s="52"/>
      <c r="L993" s="52"/>
    </row>
    <row r="994">
      <c r="A994" s="77"/>
      <c r="B994" s="77"/>
      <c r="C994" s="52"/>
      <c r="D994" s="52"/>
      <c r="E994" s="52"/>
      <c r="F994" s="52"/>
      <c r="G994" s="52"/>
      <c r="H994" s="52"/>
      <c r="I994" s="52"/>
      <c r="J994" s="52"/>
      <c r="K994" s="52"/>
      <c r="L994" s="52"/>
    </row>
    <row r="995">
      <c r="A995" s="77"/>
      <c r="B995" s="77"/>
      <c r="C995" s="52"/>
      <c r="D995" s="52"/>
      <c r="E995" s="52"/>
      <c r="F995" s="52"/>
      <c r="G995" s="52"/>
      <c r="H995" s="52"/>
      <c r="I995" s="52"/>
      <c r="J995" s="52"/>
      <c r="K995" s="52"/>
      <c r="L995" s="52"/>
    </row>
    <row r="996">
      <c r="A996" s="77"/>
      <c r="B996" s="77"/>
      <c r="C996" s="52"/>
      <c r="D996" s="52"/>
      <c r="E996" s="52"/>
      <c r="F996" s="52"/>
      <c r="G996" s="52"/>
      <c r="H996" s="52"/>
      <c r="I996" s="52"/>
      <c r="J996" s="52"/>
      <c r="K996" s="52"/>
      <c r="L996" s="52"/>
    </row>
    <row r="997">
      <c r="A997" s="77"/>
      <c r="B997" s="77"/>
      <c r="C997" s="52"/>
      <c r="D997" s="52"/>
      <c r="E997" s="52"/>
      <c r="F997" s="52"/>
      <c r="G997" s="52"/>
      <c r="H997" s="52"/>
      <c r="I997" s="52"/>
      <c r="J997" s="52"/>
      <c r="K997" s="52"/>
      <c r="L997" s="52"/>
    </row>
    <row r="998">
      <c r="A998" s="77"/>
      <c r="B998" s="77"/>
      <c r="C998" s="52"/>
      <c r="D998" s="52"/>
      <c r="E998" s="52"/>
      <c r="F998" s="52"/>
      <c r="G998" s="52"/>
      <c r="H998" s="52"/>
      <c r="I998" s="52"/>
      <c r="J998" s="52"/>
      <c r="K998" s="52"/>
      <c r="L998" s="52"/>
    </row>
    <row r="999">
      <c r="A999" s="77"/>
      <c r="B999" s="77"/>
      <c r="C999" s="52"/>
      <c r="D999" s="52"/>
      <c r="E999" s="52"/>
      <c r="F999" s="52"/>
      <c r="G999" s="52"/>
      <c r="H999" s="52"/>
      <c r="I999" s="52"/>
      <c r="J999" s="52"/>
      <c r="K999" s="52"/>
      <c r="L999" s="52"/>
    </row>
    <row r="1000">
      <c r="A1000" s="77"/>
      <c r="B1000" s="77"/>
      <c r="C1000" s="52"/>
      <c r="D1000" s="52"/>
      <c r="E1000" s="52"/>
      <c r="F1000" s="52"/>
      <c r="G1000" s="52"/>
      <c r="H1000" s="52"/>
      <c r="I1000" s="52"/>
      <c r="J1000" s="52"/>
      <c r="K1000" s="52"/>
      <c r="L1000" s="52"/>
    </row>
    <row r="1001">
      <c r="A1001" s="77"/>
      <c r="B1001" s="77"/>
      <c r="C1001" s="52"/>
      <c r="D1001" s="52"/>
      <c r="E1001" s="52"/>
      <c r="F1001" s="52"/>
      <c r="G1001" s="52"/>
      <c r="H1001" s="52"/>
      <c r="I1001" s="52"/>
      <c r="J1001" s="52"/>
      <c r="K1001" s="52"/>
      <c r="L1001" s="52"/>
    </row>
    <row r="1002">
      <c r="A1002" s="77"/>
      <c r="B1002" s="77"/>
      <c r="C1002" s="52"/>
      <c r="D1002" s="52"/>
      <c r="E1002" s="52"/>
      <c r="F1002" s="52"/>
      <c r="G1002" s="52"/>
      <c r="H1002" s="52"/>
      <c r="I1002" s="52"/>
      <c r="J1002" s="52"/>
      <c r="K1002" s="52"/>
      <c r="L1002" s="52"/>
    </row>
    <row r="1003">
      <c r="A1003" s="77"/>
      <c r="B1003" s="77"/>
      <c r="C1003" s="52"/>
      <c r="D1003" s="52"/>
      <c r="E1003" s="52"/>
      <c r="F1003" s="52"/>
      <c r="G1003" s="52"/>
      <c r="H1003" s="52"/>
      <c r="I1003" s="52"/>
      <c r="J1003" s="52"/>
      <c r="K1003" s="52"/>
      <c r="L1003" s="52"/>
    </row>
    <row r="1004">
      <c r="A1004" s="77"/>
      <c r="B1004" s="77"/>
      <c r="C1004" s="52"/>
      <c r="D1004" s="52"/>
      <c r="E1004" s="52"/>
      <c r="F1004" s="52"/>
      <c r="G1004" s="52"/>
      <c r="H1004" s="52"/>
      <c r="I1004" s="52"/>
      <c r="J1004" s="52"/>
      <c r="K1004" s="52"/>
      <c r="L1004" s="52"/>
    </row>
    <row r="1005">
      <c r="A1005" s="77"/>
      <c r="B1005" s="77"/>
      <c r="C1005" s="52"/>
      <c r="D1005" s="52"/>
      <c r="E1005" s="52"/>
      <c r="F1005" s="52"/>
      <c r="G1005" s="52"/>
      <c r="H1005" s="52"/>
      <c r="I1005" s="52"/>
      <c r="J1005" s="52"/>
      <c r="K1005" s="52"/>
      <c r="L1005" s="52"/>
    </row>
    <row r="1006">
      <c r="A1006" s="77"/>
      <c r="B1006" s="77"/>
      <c r="C1006" s="52"/>
      <c r="D1006" s="52"/>
      <c r="E1006" s="52"/>
      <c r="F1006" s="52"/>
      <c r="G1006" s="52"/>
      <c r="H1006" s="52"/>
      <c r="I1006" s="52"/>
      <c r="J1006" s="52"/>
      <c r="K1006" s="52"/>
      <c r="L1006" s="52"/>
    </row>
    <row r="1007">
      <c r="A1007" s="77"/>
      <c r="B1007" s="77"/>
      <c r="C1007" s="52"/>
      <c r="D1007" s="52"/>
      <c r="E1007" s="52"/>
      <c r="F1007" s="52"/>
      <c r="G1007" s="52"/>
      <c r="H1007" s="52"/>
      <c r="I1007" s="52"/>
      <c r="J1007" s="52"/>
      <c r="K1007" s="52"/>
      <c r="L1007" s="52"/>
    </row>
    <row r="1008">
      <c r="A1008" s="77"/>
      <c r="B1008" s="77"/>
      <c r="C1008" s="52"/>
      <c r="D1008" s="52"/>
      <c r="E1008" s="52"/>
      <c r="F1008" s="52"/>
      <c r="G1008" s="52"/>
      <c r="H1008" s="52"/>
      <c r="I1008" s="52"/>
      <c r="J1008" s="52"/>
      <c r="K1008" s="52"/>
      <c r="L1008" s="52"/>
    </row>
    <row r="1009">
      <c r="A1009" s="77"/>
      <c r="B1009" s="77"/>
      <c r="C1009" s="52"/>
      <c r="D1009" s="52"/>
      <c r="E1009" s="52"/>
      <c r="F1009" s="52"/>
      <c r="G1009" s="52"/>
      <c r="H1009" s="52"/>
      <c r="I1009" s="52"/>
      <c r="J1009" s="52"/>
      <c r="K1009" s="52"/>
      <c r="L1009" s="52"/>
    </row>
    <row r="1010">
      <c r="A1010" s="77"/>
      <c r="B1010" s="77"/>
      <c r="C1010" s="52"/>
      <c r="D1010" s="52"/>
      <c r="E1010" s="52"/>
      <c r="F1010" s="52"/>
      <c r="G1010" s="52"/>
      <c r="H1010" s="52"/>
      <c r="I1010" s="52"/>
      <c r="J1010" s="52"/>
      <c r="K1010" s="52"/>
      <c r="L1010" s="52"/>
    </row>
    <row r="1011">
      <c r="A1011" s="77"/>
      <c r="B1011" s="77"/>
      <c r="C1011" s="52"/>
      <c r="D1011" s="52"/>
      <c r="E1011" s="52"/>
      <c r="F1011" s="52"/>
      <c r="G1011" s="52"/>
      <c r="H1011" s="52"/>
      <c r="I1011" s="52"/>
      <c r="J1011" s="52"/>
      <c r="K1011" s="52"/>
      <c r="L1011" s="52"/>
    </row>
    <row r="1012">
      <c r="A1012" s="77"/>
      <c r="B1012" s="77"/>
      <c r="C1012" s="52"/>
      <c r="D1012" s="52"/>
      <c r="E1012" s="52"/>
      <c r="F1012" s="52"/>
      <c r="G1012" s="52"/>
      <c r="H1012" s="52"/>
      <c r="I1012" s="52"/>
      <c r="J1012" s="52"/>
      <c r="K1012" s="52"/>
      <c r="L1012" s="52"/>
    </row>
    <row r="1013">
      <c r="A1013" s="77"/>
      <c r="B1013" s="77"/>
      <c r="C1013" s="52"/>
      <c r="D1013" s="52"/>
      <c r="E1013" s="52"/>
      <c r="F1013" s="52"/>
      <c r="G1013" s="52"/>
      <c r="H1013" s="52"/>
      <c r="I1013" s="52"/>
      <c r="J1013" s="52"/>
      <c r="K1013" s="52"/>
      <c r="L1013" s="52"/>
    </row>
    <row r="1014">
      <c r="A1014" s="77"/>
      <c r="B1014" s="77"/>
      <c r="C1014" s="52"/>
      <c r="D1014" s="52"/>
      <c r="E1014" s="52"/>
      <c r="F1014" s="52"/>
      <c r="G1014" s="52"/>
      <c r="H1014" s="52"/>
      <c r="I1014" s="52"/>
      <c r="J1014" s="52"/>
      <c r="K1014" s="52"/>
      <c r="L1014" s="52"/>
    </row>
    <row r="1015">
      <c r="A1015" s="77"/>
      <c r="B1015" s="77"/>
      <c r="C1015" s="52"/>
      <c r="D1015" s="52"/>
      <c r="E1015" s="52"/>
      <c r="F1015" s="52"/>
      <c r="G1015" s="52"/>
      <c r="H1015" s="52"/>
      <c r="I1015" s="52"/>
      <c r="J1015" s="52"/>
      <c r="K1015" s="52"/>
      <c r="L1015" s="52"/>
    </row>
    <row r="1016">
      <c r="A1016" s="77"/>
      <c r="B1016" s="77"/>
      <c r="C1016" s="52"/>
      <c r="D1016" s="52"/>
      <c r="E1016" s="52"/>
      <c r="F1016" s="52"/>
      <c r="G1016" s="52"/>
      <c r="H1016" s="52"/>
      <c r="I1016" s="52"/>
      <c r="J1016" s="52"/>
      <c r="K1016" s="52"/>
      <c r="L1016" s="52"/>
    </row>
    <row r="1017">
      <c r="A1017" s="77"/>
      <c r="B1017" s="77"/>
      <c r="C1017" s="52"/>
      <c r="D1017" s="52"/>
      <c r="E1017" s="52"/>
      <c r="F1017" s="52"/>
      <c r="G1017" s="52"/>
      <c r="H1017" s="52"/>
      <c r="I1017" s="52"/>
      <c r="J1017" s="52"/>
      <c r="K1017" s="52"/>
      <c r="L1017" s="52"/>
    </row>
    <row r="1018">
      <c r="A1018" s="77"/>
      <c r="B1018" s="77"/>
      <c r="C1018" s="52"/>
      <c r="D1018" s="52"/>
      <c r="E1018" s="52"/>
      <c r="F1018" s="52"/>
      <c r="G1018" s="52"/>
      <c r="H1018" s="52"/>
      <c r="I1018" s="52"/>
      <c r="J1018" s="52"/>
      <c r="K1018" s="52"/>
      <c r="L1018" s="52"/>
    </row>
    <row r="1019">
      <c r="A1019" s="77"/>
      <c r="B1019" s="77"/>
      <c r="C1019" s="52"/>
      <c r="D1019" s="52"/>
      <c r="E1019" s="52"/>
      <c r="F1019" s="52"/>
      <c r="G1019" s="52"/>
      <c r="H1019" s="52"/>
      <c r="I1019" s="52"/>
      <c r="J1019" s="52"/>
      <c r="K1019" s="52"/>
      <c r="L1019" s="52"/>
    </row>
    <row r="1020">
      <c r="A1020" s="77"/>
      <c r="B1020" s="77"/>
      <c r="C1020" s="52"/>
      <c r="D1020" s="52"/>
      <c r="E1020" s="52"/>
      <c r="F1020" s="52"/>
      <c r="G1020" s="52"/>
      <c r="H1020" s="52"/>
      <c r="I1020" s="52"/>
      <c r="J1020" s="52"/>
      <c r="K1020" s="52"/>
      <c r="L1020" s="52"/>
    </row>
    <row r="1021">
      <c r="A1021" s="77"/>
      <c r="B1021" s="77"/>
      <c r="C1021" s="52"/>
      <c r="D1021" s="52"/>
      <c r="E1021" s="52"/>
      <c r="F1021" s="52"/>
      <c r="G1021" s="52"/>
      <c r="H1021" s="52"/>
      <c r="I1021" s="52"/>
      <c r="J1021" s="52"/>
      <c r="K1021" s="52"/>
      <c r="L1021" s="52"/>
    </row>
    <row r="1022">
      <c r="A1022" s="77"/>
      <c r="B1022" s="77"/>
      <c r="C1022" s="52"/>
      <c r="D1022" s="52"/>
      <c r="E1022" s="52"/>
      <c r="F1022" s="52"/>
      <c r="G1022" s="52"/>
      <c r="H1022" s="52"/>
      <c r="I1022" s="52"/>
      <c r="J1022" s="52"/>
      <c r="K1022" s="52"/>
      <c r="L1022" s="52"/>
    </row>
    <row r="1023">
      <c r="A1023" s="77"/>
      <c r="B1023" s="77"/>
      <c r="C1023" s="52"/>
      <c r="D1023" s="52"/>
      <c r="E1023" s="52"/>
      <c r="F1023" s="52"/>
      <c r="G1023" s="52"/>
      <c r="H1023" s="52"/>
      <c r="I1023" s="52"/>
      <c r="J1023" s="52"/>
      <c r="K1023" s="52"/>
      <c r="L1023" s="5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88"/>
    <col customWidth="1" min="2" max="70" width="2.63"/>
  </cols>
  <sheetData>
    <row r="1">
      <c r="A1" s="101" t="s">
        <v>1230</v>
      </c>
    </row>
    <row r="2">
      <c r="A2" s="102" t="s">
        <v>1231</v>
      </c>
    </row>
    <row r="3">
      <c r="A3" s="103" t="s">
        <v>1232</v>
      </c>
      <c r="B3" s="103" t="s">
        <v>1074</v>
      </c>
      <c r="H3" s="104"/>
      <c r="I3" s="103" t="s">
        <v>1075</v>
      </c>
      <c r="O3" s="104"/>
      <c r="P3" s="101" t="s">
        <v>1076</v>
      </c>
      <c r="V3" s="104"/>
      <c r="W3" s="101" t="s">
        <v>1077</v>
      </c>
      <c r="AC3" s="104"/>
      <c r="AD3" s="101" t="s">
        <v>1078</v>
      </c>
      <c r="AJ3" s="104"/>
      <c r="AK3" s="101" t="s">
        <v>1079</v>
      </c>
      <c r="AQ3" s="104"/>
      <c r="AR3" s="101" t="s">
        <v>1080</v>
      </c>
      <c r="AX3" s="104"/>
      <c r="AY3" s="101" t="s">
        <v>1081</v>
      </c>
      <c r="BE3" s="104"/>
      <c r="BF3" s="101" t="s">
        <v>1082</v>
      </c>
      <c r="BL3" s="104"/>
      <c r="BM3" s="101" t="s">
        <v>1083</v>
      </c>
    </row>
    <row r="4">
      <c r="A4" s="101" t="s">
        <v>1233</v>
      </c>
      <c r="B4" s="105"/>
      <c r="C4" s="105"/>
      <c r="D4" s="106"/>
      <c r="E4" s="105"/>
      <c r="F4" s="105"/>
      <c r="G4" s="106"/>
      <c r="H4" s="107"/>
      <c r="I4" s="105"/>
      <c r="J4" s="108"/>
      <c r="K4" s="108"/>
      <c r="L4" s="105"/>
      <c r="M4" s="108"/>
      <c r="N4" s="108"/>
      <c r="O4" s="107"/>
      <c r="P4" s="108"/>
      <c r="Q4" s="109"/>
      <c r="R4" s="109"/>
      <c r="S4" s="108"/>
      <c r="T4" s="109"/>
      <c r="U4" s="109"/>
      <c r="V4" s="107"/>
      <c r="W4" s="105"/>
      <c r="X4" s="106"/>
      <c r="Y4" s="106"/>
      <c r="Z4" s="105"/>
      <c r="AA4" s="106"/>
      <c r="AB4" s="106"/>
      <c r="AC4" s="107"/>
      <c r="AD4" s="105"/>
      <c r="AE4" s="109"/>
      <c r="AF4" s="109"/>
      <c r="AG4" s="105"/>
      <c r="AH4" s="109"/>
      <c r="AI4" s="109"/>
      <c r="AJ4" s="107"/>
      <c r="AK4" s="106"/>
      <c r="AL4" s="106"/>
      <c r="AM4" s="108"/>
      <c r="AN4" s="106"/>
      <c r="AO4" s="106"/>
      <c r="AP4" s="108"/>
      <c r="AQ4" s="107"/>
      <c r="AR4" s="106"/>
      <c r="AS4" s="106"/>
      <c r="AT4" s="109"/>
      <c r="AU4" s="106"/>
      <c r="AV4" s="106"/>
      <c r="AW4" s="109"/>
      <c r="AX4" s="107"/>
      <c r="AY4" s="105"/>
      <c r="AZ4" s="108"/>
      <c r="BA4" s="108"/>
      <c r="BB4" s="105"/>
      <c r="BC4" s="108"/>
      <c r="BD4" s="108"/>
      <c r="BE4" s="107"/>
      <c r="BF4" s="105"/>
      <c r="BG4" s="105"/>
      <c r="BH4" s="108"/>
      <c r="BI4" s="105"/>
      <c r="BJ4" s="105"/>
      <c r="BK4" s="108"/>
      <c r="BL4" s="107"/>
      <c r="BM4" s="106"/>
      <c r="BN4" s="109"/>
      <c r="BO4" s="109"/>
      <c r="BP4" s="106"/>
      <c r="BQ4" s="109"/>
      <c r="BR4" s="109"/>
    </row>
    <row r="5">
      <c r="A5" s="101" t="s">
        <v>1234</v>
      </c>
      <c r="B5" s="108"/>
      <c r="C5" s="109"/>
      <c r="D5" s="109"/>
      <c r="E5" s="108"/>
      <c r="F5" s="109"/>
      <c r="G5" s="109"/>
      <c r="H5" s="107"/>
      <c r="I5" s="106"/>
      <c r="J5" s="106"/>
      <c r="K5" s="109"/>
      <c r="L5" s="106"/>
      <c r="M5" s="106"/>
      <c r="N5" s="109"/>
      <c r="O5" s="107"/>
      <c r="P5" s="105"/>
      <c r="Q5" s="106"/>
      <c r="R5" s="108"/>
      <c r="S5" s="105"/>
      <c r="T5" s="106"/>
      <c r="U5" s="108"/>
      <c r="V5" s="107"/>
      <c r="W5" s="108"/>
      <c r="X5" s="108"/>
      <c r="Y5" s="109"/>
      <c r="Z5" s="108"/>
      <c r="AA5" s="108"/>
      <c r="AB5" s="109"/>
      <c r="AC5" s="107"/>
      <c r="AD5" s="105"/>
      <c r="AE5" s="106"/>
      <c r="AF5" s="108"/>
      <c r="AG5" s="105"/>
      <c r="AH5" s="106"/>
      <c r="AI5" s="108"/>
      <c r="AJ5" s="107"/>
      <c r="AK5" s="105"/>
      <c r="AL5" s="105"/>
      <c r="AM5" s="109"/>
      <c r="AN5" s="105"/>
      <c r="AO5" s="105"/>
      <c r="AP5" s="109"/>
      <c r="AQ5" s="107"/>
      <c r="AR5" s="105"/>
      <c r="AS5" s="106"/>
      <c r="AT5" s="108"/>
      <c r="AU5" s="105"/>
      <c r="AV5" s="106"/>
      <c r="AW5" s="108"/>
      <c r="AX5" s="107"/>
      <c r="AY5" s="105"/>
      <c r="AZ5" s="106"/>
      <c r="BA5" s="109"/>
      <c r="BB5" s="105"/>
      <c r="BC5" s="106"/>
      <c r="BD5" s="109"/>
      <c r="BE5" s="107"/>
      <c r="BF5" s="106"/>
      <c r="BG5" s="109"/>
      <c r="BH5" s="108"/>
      <c r="BI5" s="106"/>
      <c r="BJ5" s="109"/>
      <c r="BK5" s="108"/>
      <c r="BL5" s="107"/>
      <c r="BM5" s="105"/>
      <c r="BN5" s="108"/>
      <c r="BO5" s="108"/>
      <c r="BP5" s="105"/>
      <c r="BQ5" s="108"/>
      <c r="BR5" s="108"/>
    </row>
    <row r="6">
      <c r="A6" s="101" t="s">
        <v>1235</v>
      </c>
      <c r="B6" s="105"/>
      <c r="C6" s="108"/>
      <c r="D6" s="110"/>
      <c r="E6" s="105"/>
      <c r="F6" s="106"/>
      <c r="G6" s="109"/>
      <c r="H6" s="107"/>
      <c r="I6" s="106"/>
      <c r="J6" s="108"/>
      <c r="K6" s="110"/>
      <c r="L6" s="105"/>
      <c r="M6" s="106"/>
      <c r="N6" s="108"/>
      <c r="O6" s="107"/>
      <c r="P6" s="105"/>
      <c r="Q6" s="109"/>
      <c r="R6" s="110"/>
      <c r="S6" s="105"/>
      <c r="T6" s="105"/>
      <c r="U6" s="109"/>
      <c r="V6" s="107"/>
      <c r="W6" s="106"/>
      <c r="X6" s="108"/>
      <c r="Y6" s="110"/>
      <c r="Z6" s="105"/>
      <c r="AA6" s="106"/>
      <c r="AB6" s="108"/>
      <c r="AC6" s="107"/>
      <c r="AD6" s="105"/>
      <c r="AE6" s="105"/>
      <c r="AF6" s="110"/>
      <c r="AG6" s="105"/>
      <c r="AH6" s="108"/>
      <c r="AI6" s="108"/>
      <c r="AJ6" s="107"/>
      <c r="AK6" s="106"/>
      <c r="AL6" s="109"/>
      <c r="AM6" s="110"/>
      <c r="AN6" s="106"/>
      <c r="AO6" s="108"/>
      <c r="AP6" s="109"/>
      <c r="AQ6" s="107"/>
      <c r="AR6" s="108"/>
      <c r="AS6" s="109"/>
      <c r="AT6" s="110"/>
      <c r="AU6" s="106"/>
      <c r="AV6" s="109"/>
      <c r="AW6" s="109"/>
      <c r="AX6" s="107"/>
      <c r="AY6" s="106"/>
      <c r="AZ6" s="108"/>
      <c r="BA6" s="110"/>
      <c r="BB6" s="108"/>
      <c r="BC6" s="108"/>
      <c r="BD6" s="109"/>
      <c r="BE6" s="107"/>
      <c r="BF6" s="105"/>
      <c r="BG6" s="106"/>
      <c r="BH6" s="111"/>
      <c r="BI6" s="105"/>
      <c r="BJ6" s="108"/>
      <c r="BK6" s="108"/>
      <c r="BL6" s="107"/>
      <c r="BM6" s="109"/>
      <c r="BN6" s="108"/>
      <c r="BO6" s="111"/>
      <c r="BP6" s="106"/>
      <c r="BQ6" s="109"/>
      <c r="BR6" s="108"/>
    </row>
    <row r="7">
      <c r="A7" s="101" t="s">
        <v>1236</v>
      </c>
      <c r="B7" s="106"/>
      <c r="C7" s="106"/>
      <c r="D7" s="108"/>
      <c r="E7" s="106"/>
      <c r="F7" s="106"/>
      <c r="G7" s="108"/>
      <c r="H7" s="107"/>
      <c r="I7" s="105"/>
      <c r="J7" s="109"/>
      <c r="K7" s="109"/>
      <c r="L7" s="105"/>
      <c r="M7" s="109"/>
      <c r="N7" s="109"/>
      <c r="O7" s="107"/>
      <c r="P7" s="106"/>
      <c r="Q7" s="108"/>
      <c r="R7" s="108"/>
      <c r="S7" s="106"/>
      <c r="T7" s="108"/>
      <c r="U7" s="108"/>
      <c r="V7" s="107"/>
      <c r="W7" s="105"/>
      <c r="X7" s="105"/>
      <c r="Y7" s="109"/>
      <c r="Z7" s="105"/>
      <c r="AA7" s="105"/>
      <c r="AB7" s="109"/>
      <c r="AC7" s="107"/>
      <c r="AD7" s="106"/>
      <c r="AE7" s="106"/>
      <c r="AF7" s="109"/>
      <c r="AG7" s="106"/>
      <c r="AH7" s="106"/>
      <c r="AI7" s="109"/>
      <c r="AJ7" s="107"/>
      <c r="AK7" s="105"/>
      <c r="AL7" s="108"/>
      <c r="AM7" s="108"/>
      <c r="AN7" s="105"/>
      <c r="AO7" s="108"/>
      <c r="AP7" s="108"/>
      <c r="AQ7" s="107"/>
      <c r="AR7" s="105"/>
      <c r="AS7" s="105"/>
      <c r="AT7" s="108"/>
      <c r="AU7" s="105"/>
      <c r="AV7" s="105"/>
      <c r="AW7" s="108"/>
      <c r="AX7" s="107"/>
      <c r="AY7" s="105"/>
      <c r="AZ7" s="105"/>
      <c r="BA7" s="106"/>
      <c r="BB7" s="105"/>
      <c r="BC7" s="105"/>
      <c r="BD7" s="106"/>
      <c r="BE7" s="107"/>
      <c r="BF7" s="106"/>
      <c r="BG7" s="109"/>
      <c r="BH7" s="109"/>
      <c r="BI7" s="106"/>
      <c r="BJ7" s="109"/>
      <c r="BK7" s="109"/>
      <c r="BL7" s="107"/>
      <c r="BM7" s="105"/>
      <c r="BN7" s="105"/>
      <c r="BO7" s="106"/>
      <c r="BP7" s="105"/>
      <c r="BQ7" s="105"/>
      <c r="BR7" s="106"/>
    </row>
    <row r="8">
      <c r="A8" s="101" t="s">
        <v>1237</v>
      </c>
      <c r="B8" s="106"/>
      <c r="C8" s="105"/>
      <c r="D8" s="105"/>
      <c r="E8" s="109"/>
      <c r="F8" s="108"/>
      <c r="G8" s="108"/>
      <c r="H8" s="107"/>
      <c r="I8" s="108"/>
      <c r="J8" s="108"/>
      <c r="K8" s="105"/>
      <c r="L8" s="109"/>
      <c r="M8" s="109"/>
      <c r="N8" s="106"/>
      <c r="O8" s="107"/>
      <c r="P8" s="109"/>
      <c r="Q8" s="109"/>
      <c r="R8" s="108"/>
      <c r="S8" s="106"/>
      <c r="T8" s="106"/>
      <c r="U8" s="105"/>
      <c r="V8" s="107"/>
      <c r="W8" s="106"/>
      <c r="X8" s="106"/>
      <c r="Y8" s="105"/>
      <c r="Z8" s="109"/>
      <c r="AA8" s="109"/>
      <c r="AB8" s="108"/>
      <c r="AC8" s="107"/>
      <c r="AD8" s="109"/>
      <c r="AE8" s="109"/>
      <c r="AF8" s="105"/>
      <c r="AG8" s="108"/>
      <c r="AH8" s="106"/>
      <c r="AI8" s="106"/>
      <c r="AJ8" s="107"/>
      <c r="AK8" s="108"/>
      <c r="AL8" s="106"/>
      <c r="AM8" s="106"/>
      <c r="AN8" s="109"/>
      <c r="AO8" s="109"/>
      <c r="AP8" s="105"/>
      <c r="AQ8" s="107"/>
      <c r="AR8" s="109"/>
      <c r="AS8" s="106"/>
      <c r="AT8" s="106"/>
      <c r="AU8" s="108"/>
      <c r="AV8" s="108"/>
      <c r="AW8" s="105"/>
      <c r="AX8" s="107"/>
      <c r="AY8" s="108"/>
      <c r="AZ8" s="108"/>
      <c r="BA8" s="105"/>
      <c r="BB8" s="109"/>
      <c r="BC8" s="109"/>
      <c r="BD8" s="106"/>
      <c r="BE8" s="107"/>
      <c r="BF8" s="108"/>
      <c r="BG8" s="105"/>
      <c r="BH8" s="105"/>
      <c r="BI8" s="109"/>
      <c r="BJ8" s="106"/>
      <c r="BK8" s="106"/>
      <c r="BL8" s="107"/>
      <c r="BM8" s="109"/>
      <c r="BN8" s="109"/>
      <c r="BO8" s="106"/>
      <c r="BP8" s="108"/>
      <c r="BQ8" s="105"/>
      <c r="BR8" s="105"/>
    </row>
    <row r="9">
      <c r="A9" s="101" t="s">
        <v>1238</v>
      </c>
      <c r="B9" s="106"/>
      <c r="C9" s="109"/>
      <c r="D9" s="108"/>
      <c r="E9" s="106"/>
      <c r="F9" s="109"/>
      <c r="G9" s="108"/>
      <c r="H9" s="112"/>
      <c r="I9" s="108"/>
      <c r="J9" s="109"/>
      <c r="K9" s="109"/>
      <c r="L9" s="108"/>
      <c r="M9" s="109"/>
      <c r="N9" s="109"/>
      <c r="O9" s="112"/>
      <c r="P9" s="106"/>
      <c r="Q9" s="106"/>
      <c r="R9" s="109"/>
      <c r="S9" s="106"/>
      <c r="T9" s="106"/>
      <c r="U9" s="109"/>
      <c r="V9" s="112"/>
      <c r="W9" s="106"/>
      <c r="X9" s="109"/>
      <c r="Y9" s="109"/>
      <c r="Z9" s="106"/>
      <c r="AA9" s="109"/>
      <c r="AB9" s="109"/>
      <c r="AC9" s="112"/>
      <c r="AD9" s="108"/>
      <c r="AE9" s="108"/>
      <c r="AF9" s="109"/>
      <c r="AG9" s="108"/>
      <c r="AH9" s="108"/>
      <c r="AI9" s="109"/>
      <c r="AJ9" s="112"/>
      <c r="AK9" s="105"/>
      <c r="AL9" s="105"/>
      <c r="AM9" s="108"/>
      <c r="AN9" s="105"/>
      <c r="AO9" s="105"/>
      <c r="AP9" s="108"/>
      <c r="AQ9" s="112"/>
      <c r="AR9" s="105"/>
      <c r="AS9" s="105"/>
      <c r="AT9" s="106"/>
      <c r="AU9" s="105"/>
      <c r="AV9" s="105"/>
      <c r="AW9" s="106"/>
      <c r="AX9" s="112"/>
      <c r="AY9" s="105"/>
      <c r="AZ9" s="105"/>
      <c r="BA9" s="108"/>
      <c r="BB9" s="105"/>
      <c r="BC9" s="105"/>
      <c r="BD9" s="108"/>
      <c r="BE9" s="112"/>
      <c r="BF9" s="106"/>
      <c r="BG9" s="106"/>
      <c r="BH9" s="109"/>
      <c r="BI9" s="106"/>
      <c r="BJ9" s="106"/>
      <c r="BK9" s="109"/>
      <c r="BL9" s="112"/>
      <c r="BM9" s="105"/>
      <c r="BN9" s="106"/>
      <c r="BO9" s="106"/>
      <c r="BP9" s="105"/>
      <c r="BQ9" s="106"/>
      <c r="BR9" s="106"/>
    </row>
    <row r="10">
      <c r="A10" s="101" t="s">
        <v>1239</v>
      </c>
      <c r="B10" s="109"/>
      <c r="C10" s="109"/>
      <c r="D10" s="108"/>
      <c r="E10" s="105"/>
      <c r="F10" s="109"/>
      <c r="G10" s="110"/>
      <c r="H10" s="112"/>
      <c r="I10" s="109"/>
      <c r="J10" s="106"/>
      <c r="K10" s="106"/>
      <c r="L10" s="105"/>
      <c r="M10" s="106"/>
      <c r="N10" s="113"/>
      <c r="O10" s="112"/>
      <c r="P10" s="108"/>
      <c r="Q10" s="106"/>
      <c r="R10" s="105"/>
      <c r="S10" s="108"/>
      <c r="T10" s="109"/>
      <c r="U10" s="113"/>
      <c r="V10" s="112"/>
      <c r="W10" s="109"/>
      <c r="X10" s="108"/>
      <c r="Y10" s="108"/>
      <c r="Z10" s="105"/>
      <c r="AA10" s="109"/>
      <c r="AB10" s="113"/>
      <c r="AC10" s="112"/>
      <c r="AD10" s="108"/>
      <c r="AE10" s="106"/>
      <c r="AF10" s="105"/>
      <c r="AG10" s="105"/>
      <c r="AH10" s="109"/>
      <c r="AI10" s="113"/>
      <c r="AJ10" s="112"/>
      <c r="AK10" s="109"/>
      <c r="AL10" s="105"/>
      <c r="AM10" s="105"/>
      <c r="AN10" s="108"/>
      <c r="AO10" s="109"/>
      <c r="AP10" s="113"/>
      <c r="AQ10" s="112"/>
      <c r="AR10" s="108"/>
      <c r="AS10" s="106"/>
      <c r="AT10" s="105"/>
      <c r="AU10" s="106"/>
      <c r="AV10" s="109"/>
      <c r="AW10" s="113"/>
      <c r="AX10" s="112"/>
      <c r="AY10" s="109"/>
      <c r="AZ10" s="106"/>
      <c r="BA10" s="105"/>
      <c r="BB10" s="108"/>
      <c r="BC10" s="109"/>
      <c r="BD10" s="113"/>
      <c r="BE10" s="112"/>
      <c r="BF10" s="108"/>
      <c r="BG10" s="109"/>
      <c r="BH10" s="106"/>
      <c r="BI10" s="105"/>
      <c r="BJ10" s="109"/>
      <c r="BK10" s="113"/>
      <c r="BL10" s="112"/>
      <c r="BM10" s="108"/>
      <c r="BN10" s="108"/>
      <c r="BO10" s="105"/>
      <c r="BP10" s="106"/>
      <c r="BQ10" s="108"/>
      <c r="BR10" s="113"/>
    </row>
    <row r="11">
      <c r="A11" s="101" t="s">
        <v>1240</v>
      </c>
      <c r="B11" s="108"/>
      <c r="C11" s="108"/>
      <c r="D11" s="108"/>
      <c r="E11" s="108"/>
      <c r="F11" s="108"/>
      <c r="G11" s="108"/>
      <c r="H11" s="112"/>
      <c r="I11" s="108"/>
      <c r="J11" s="108"/>
      <c r="K11" s="108"/>
      <c r="L11" s="108"/>
      <c r="M11" s="108"/>
      <c r="N11" s="108"/>
      <c r="O11" s="112"/>
      <c r="P11" s="108"/>
      <c r="Q11" s="108"/>
      <c r="R11" s="108"/>
      <c r="S11" s="108"/>
      <c r="T11" s="108"/>
      <c r="U11" s="108"/>
      <c r="V11" s="112"/>
      <c r="W11" s="108"/>
      <c r="X11" s="108"/>
      <c r="Y11" s="108"/>
      <c r="Z11" s="108"/>
      <c r="AA11" s="108"/>
      <c r="AB11" s="108"/>
      <c r="AC11" s="112"/>
      <c r="AD11" s="108"/>
      <c r="AE11" s="108"/>
      <c r="AF11" s="108"/>
      <c r="AG11" s="108"/>
      <c r="AH11" s="108"/>
      <c r="AI11" s="108"/>
      <c r="AJ11" s="112"/>
      <c r="AK11" s="108"/>
      <c r="AL11" s="108"/>
      <c r="AM11" s="108"/>
      <c r="AN11" s="108"/>
      <c r="AO11" s="108"/>
      <c r="AP11" s="108"/>
      <c r="AQ11" s="112"/>
      <c r="AR11" s="108"/>
      <c r="AS11" s="108"/>
      <c r="AT11" s="108"/>
      <c r="AU11" s="108"/>
      <c r="AV11" s="108"/>
      <c r="AW11" s="108"/>
      <c r="AX11" s="112"/>
      <c r="AY11" s="108"/>
      <c r="AZ11" s="108"/>
      <c r="BA11" s="108"/>
      <c r="BB11" s="108"/>
      <c r="BC11" s="108"/>
      <c r="BD11" s="108"/>
      <c r="BE11" s="112"/>
      <c r="BF11" s="108"/>
      <c r="BG11" s="108"/>
      <c r="BH11" s="108"/>
      <c r="BI11" s="108"/>
      <c r="BJ11" s="108"/>
      <c r="BK11" s="108"/>
      <c r="BL11" s="112"/>
      <c r="BM11" s="108"/>
      <c r="BN11" s="108"/>
      <c r="BO11" s="108"/>
      <c r="BP11" s="108"/>
      <c r="BQ11" s="108"/>
      <c r="BR11" s="108"/>
    </row>
    <row r="12">
      <c r="A12" s="101" t="s">
        <v>1241</v>
      </c>
      <c r="B12" s="109"/>
      <c r="C12" s="109"/>
      <c r="D12" s="109"/>
      <c r="E12" s="109"/>
      <c r="F12" s="109"/>
      <c r="G12" s="109"/>
      <c r="H12" s="112"/>
      <c r="I12" s="109"/>
      <c r="J12" s="109"/>
      <c r="K12" s="109"/>
      <c r="L12" s="109"/>
      <c r="M12" s="109"/>
      <c r="N12" s="109"/>
      <c r="O12" s="112"/>
      <c r="P12" s="109"/>
      <c r="Q12" s="109"/>
      <c r="R12" s="109"/>
      <c r="S12" s="109"/>
      <c r="T12" s="109"/>
      <c r="U12" s="109"/>
      <c r="V12" s="112"/>
      <c r="W12" s="109"/>
      <c r="X12" s="109"/>
      <c r="Y12" s="109"/>
      <c r="Z12" s="109"/>
      <c r="AA12" s="109"/>
      <c r="AB12" s="109"/>
      <c r="AC12" s="112"/>
      <c r="AD12" s="109"/>
      <c r="AE12" s="109"/>
      <c r="AF12" s="109"/>
      <c r="AG12" s="109"/>
      <c r="AH12" s="109"/>
      <c r="AI12" s="109"/>
      <c r="AJ12" s="112"/>
      <c r="AK12" s="109"/>
      <c r="AL12" s="109"/>
      <c r="AM12" s="109"/>
      <c r="AN12" s="109"/>
      <c r="AO12" s="109"/>
      <c r="AP12" s="109"/>
      <c r="AQ12" s="112"/>
      <c r="AR12" s="109"/>
      <c r="AS12" s="109"/>
      <c r="AT12" s="109"/>
      <c r="AU12" s="109"/>
      <c r="AV12" s="109"/>
      <c r="AW12" s="109"/>
      <c r="AX12" s="112"/>
      <c r="AY12" s="109"/>
      <c r="AZ12" s="109"/>
      <c r="BA12" s="109"/>
      <c r="BB12" s="109"/>
      <c r="BC12" s="109"/>
      <c r="BD12" s="109"/>
      <c r="BE12" s="112"/>
      <c r="BF12" s="109"/>
      <c r="BG12" s="109"/>
      <c r="BH12" s="109"/>
      <c r="BI12" s="109"/>
      <c r="BJ12" s="109"/>
      <c r="BK12" s="109"/>
      <c r="BL12" s="112"/>
      <c r="BM12" s="109"/>
      <c r="BN12" s="109"/>
      <c r="BO12" s="109"/>
      <c r="BP12" s="109"/>
      <c r="BQ12" s="109"/>
      <c r="BR12" s="109"/>
    </row>
    <row r="13">
      <c r="A13" s="101" t="s">
        <v>1242</v>
      </c>
      <c r="B13" s="106"/>
      <c r="C13" s="106"/>
      <c r="D13" s="106"/>
      <c r="E13" s="106"/>
      <c r="F13" s="106"/>
      <c r="G13" s="106"/>
      <c r="H13" s="112"/>
      <c r="I13" s="106"/>
      <c r="J13" s="106"/>
      <c r="K13" s="106"/>
      <c r="L13" s="106"/>
      <c r="M13" s="106"/>
      <c r="N13" s="106"/>
      <c r="O13" s="112"/>
      <c r="P13" s="106"/>
      <c r="Q13" s="106"/>
      <c r="R13" s="106"/>
      <c r="S13" s="106"/>
      <c r="T13" s="106"/>
      <c r="U13" s="106"/>
      <c r="V13" s="112"/>
      <c r="W13" s="106"/>
      <c r="X13" s="106"/>
      <c r="Y13" s="106"/>
      <c r="Z13" s="106"/>
      <c r="AA13" s="106"/>
      <c r="AB13" s="106"/>
      <c r="AC13" s="112"/>
      <c r="AD13" s="106"/>
      <c r="AE13" s="106"/>
      <c r="AF13" s="106"/>
      <c r="AG13" s="106"/>
      <c r="AH13" s="106"/>
      <c r="AI13" s="106"/>
      <c r="AJ13" s="112"/>
      <c r="AK13" s="106"/>
      <c r="AL13" s="106"/>
      <c r="AM13" s="106"/>
      <c r="AN13" s="106"/>
      <c r="AO13" s="106"/>
      <c r="AP13" s="106"/>
      <c r="AQ13" s="112"/>
      <c r="AR13" s="106"/>
      <c r="AS13" s="106"/>
      <c r="AT13" s="106"/>
      <c r="AU13" s="106"/>
      <c r="AV13" s="106"/>
      <c r="AW13" s="106"/>
      <c r="AX13" s="112"/>
      <c r="AY13" s="106"/>
      <c r="AZ13" s="106"/>
      <c r="BA13" s="106"/>
      <c r="BB13" s="106"/>
      <c r="BC13" s="106"/>
      <c r="BD13" s="106"/>
      <c r="BE13" s="112"/>
      <c r="BF13" s="106"/>
      <c r="BG13" s="106"/>
      <c r="BH13" s="106"/>
      <c r="BI13" s="106"/>
      <c r="BJ13" s="106"/>
      <c r="BK13" s="106"/>
      <c r="BL13" s="112"/>
      <c r="BM13" s="106"/>
      <c r="BN13" s="106"/>
      <c r="BO13" s="106"/>
      <c r="BP13" s="106"/>
      <c r="BQ13" s="106"/>
      <c r="BR13" s="106"/>
    </row>
    <row r="14">
      <c r="A14" s="101" t="s">
        <v>1243</v>
      </c>
      <c r="B14" s="105"/>
      <c r="C14" s="105"/>
      <c r="D14" s="105"/>
      <c r="E14" s="105"/>
      <c r="F14" s="105"/>
      <c r="G14" s="105"/>
      <c r="H14" s="112"/>
      <c r="I14" s="105"/>
      <c r="J14" s="105"/>
      <c r="K14" s="105"/>
      <c r="L14" s="105"/>
      <c r="M14" s="105"/>
      <c r="N14" s="105"/>
      <c r="O14" s="112"/>
      <c r="P14" s="105"/>
      <c r="Q14" s="105"/>
      <c r="R14" s="105"/>
      <c r="S14" s="105"/>
      <c r="T14" s="105"/>
      <c r="U14" s="105"/>
      <c r="V14" s="112"/>
      <c r="W14" s="105"/>
      <c r="X14" s="105"/>
      <c r="Y14" s="105"/>
      <c r="Z14" s="105"/>
      <c r="AA14" s="105"/>
      <c r="AB14" s="105"/>
      <c r="AC14" s="112"/>
      <c r="AD14" s="105"/>
      <c r="AE14" s="105"/>
      <c r="AF14" s="105"/>
      <c r="AG14" s="105"/>
      <c r="AH14" s="105"/>
      <c r="AI14" s="105"/>
      <c r="AJ14" s="112"/>
      <c r="AK14" s="105"/>
      <c r="AL14" s="105"/>
      <c r="AM14" s="105"/>
      <c r="AN14" s="105"/>
      <c r="AO14" s="105"/>
      <c r="AP14" s="105"/>
      <c r="AQ14" s="112"/>
      <c r="AR14" s="105"/>
      <c r="AS14" s="105"/>
      <c r="AT14" s="105"/>
      <c r="AU14" s="105"/>
      <c r="AV14" s="105"/>
      <c r="AW14" s="105"/>
      <c r="AX14" s="112"/>
      <c r="AY14" s="105"/>
      <c r="AZ14" s="105"/>
      <c r="BA14" s="105"/>
      <c r="BB14" s="105"/>
      <c r="BC14" s="105"/>
      <c r="BD14" s="105"/>
      <c r="BE14" s="112"/>
      <c r="BF14" s="105"/>
      <c r="BG14" s="105"/>
      <c r="BH14" s="105"/>
      <c r="BI14" s="105"/>
      <c r="BJ14" s="105"/>
      <c r="BK14" s="105"/>
      <c r="BL14" s="112"/>
      <c r="BM14" s="105"/>
      <c r="BN14" s="105"/>
      <c r="BO14" s="105"/>
      <c r="BP14" s="105"/>
      <c r="BQ14" s="105"/>
      <c r="BR14" s="105"/>
    </row>
  </sheetData>
  <mergeCells count="12">
    <mergeCell ref="AK3:AP3"/>
    <mergeCell ref="AR3:AW3"/>
    <mergeCell ref="AY3:BD3"/>
    <mergeCell ref="BF3:BK3"/>
    <mergeCell ref="A1:BR1"/>
    <mergeCell ref="A2:BR2"/>
    <mergeCell ref="B3:G3"/>
    <mergeCell ref="I3:N3"/>
    <mergeCell ref="P3:U3"/>
    <mergeCell ref="W3:AB3"/>
    <mergeCell ref="AD3:AI3"/>
    <mergeCell ref="BM3:BR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50.25"/>
    <col customWidth="1" min="3" max="3" width="94.88"/>
    <col customWidth="1" min="4" max="4" width="7.5"/>
    <col customWidth="1" min="5" max="5" width="42.13"/>
  </cols>
  <sheetData>
    <row r="1">
      <c r="A1" s="26" t="s">
        <v>17</v>
      </c>
      <c r="B1" s="26" t="s">
        <v>18</v>
      </c>
      <c r="C1" s="26" t="s">
        <v>19</v>
      </c>
      <c r="D1" s="26" t="s">
        <v>1244</v>
      </c>
      <c r="E1" s="26" t="s">
        <v>20</v>
      </c>
    </row>
    <row r="2">
      <c r="A2" s="28" t="s">
        <v>1245</v>
      </c>
      <c r="B2" s="28" t="s">
        <v>1246</v>
      </c>
      <c r="C2" s="28" t="s">
        <v>1247</v>
      </c>
      <c r="D2" s="39" t="s">
        <v>1248</v>
      </c>
      <c r="E2" s="114"/>
    </row>
    <row r="3">
      <c r="A3" s="34" t="s">
        <v>1249</v>
      </c>
      <c r="B3" s="34" t="s">
        <v>1250</v>
      </c>
      <c r="C3" s="28" t="s">
        <v>1251</v>
      </c>
      <c r="D3" s="115" t="s">
        <v>1252</v>
      </c>
      <c r="E3" s="28" t="s">
        <v>1253</v>
      </c>
    </row>
    <row r="4">
      <c r="A4" s="34" t="s">
        <v>1254</v>
      </c>
      <c r="B4" s="34" t="s">
        <v>1255</v>
      </c>
      <c r="C4" s="34" t="s">
        <v>1256</v>
      </c>
      <c r="D4" s="115" t="s">
        <v>1248</v>
      </c>
      <c r="E4" s="114"/>
    </row>
    <row r="5">
      <c r="A5" s="34" t="s">
        <v>1257</v>
      </c>
      <c r="B5" s="34" t="s">
        <v>1258</v>
      </c>
      <c r="C5" s="34" t="s">
        <v>1259</v>
      </c>
      <c r="D5" s="115" t="s">
        <v>1248</v>
      </c>
      <c r="E5" s="114"/>
    </row>
    <row r="6">
      <c r="A6" s="34" t="s">
        <v>1260</v>
      </c>
      <c r="B6" s="34" t="s">
        <v>1261</v>
      </c>
      <c r="C6" s="34" t="s">
        <v>84</v>
      </c>
      <c r="D6" s="115" t="s">
        <v>1248</v>
      </c>
      <c r="E6" s="114"/>
    </row>
    <row r="7">
      <c r="A7" s="116" t="s">
        <v>1262</v>
      </c>
      <c r="B7" s="116" t="s">
        <v>1263</v>
      </c>
      <c r="C7" s="116" t="s">
        <v>1264</v>
      </c>
      <c r="D7" s="39" t="s">
        <v>1265</v>
      </c>
      <c r="E7" s="114"/>
    </row>
    <row r="8">
      <c r="A8" s="116" t="s">
        <v>1266</v>
      </c>
      <c r="B8" s="116" t="s">
        <v>1267</v>
      </c>
      <c r="C8" s="116" t="s">
        <v>179</v>
      </c>
      <c r="D8" s="117" t="s">
        <v>1268</v>
      </c>
      <c r="E8" s="114"/>
    </row>
    <row r="9">
      <c r="A9" s="116" t="s">
        <v>1269</v>
      </c>
      <c r="B9" s="116" t="s">
        <v>1270</v>
      </c>
      <c r="C9" s="116" t="s">
        <v>1271</v>
      </c>
      <c r="D9" s="117" t="s">
        <v>1272</v>
      </c>
      <c r="E9" s="114"/>
    </row>
    <row r="10">
      <c r="A10" s="116" t="s">
        <v>1273</v>
      </c>
      <c r="B10" s="116" t="s">
        <v>1274</v>
      </c>
      <c r="C10" s="116" t="s">
        <v>1275</v>
      </c>
      <c r="D10" s="39" t="s">
        <v>1265</v>
      </c>
      <c r="E10" s="114"/>
    </row>
    <row r="11">
      <c r="A11" s="116" t="s">
        <v>1276</v>
      </c>
      <c r="B11" s="116" t="s">
        <v>1277</v>
      </c>
      <c r="C11" s="116" t="s">
        <v>1278</v>
      </c>
      <c r="D11" s="117" t="s">
        <v>1272</v>
      </c>
      <c r="E11" s="114"/>
    </row>
    <row r="12">
      <c r="A12" s="116" t="s">
        <v>1279</v>
      </c>
      <c r="B12" s="116" t="s">
        <v>1280</v>
      </c>
      <c r="C12" s="116" t="s">
        <v>1281</v>
      </c>
      <c r="D12" s="117" t="s">
        <v>1272</v>
      </c>
      <c r="E12" s="114"/>
    </row>
    <row r="13">
      <c r="A13" s="116" t="s">
        <v>1282</v>
      </c>
      <c r="B13" s="116" t="s">
        <v>1283</v>
      </c>
      <c r="C13" s="116" t="s">
        <v>1284</v>
      </c>
      <c r="D13" s="117" t="s">
        <v>1268</v>
      </c>
      <c r="E13" s="116" t="s">
        <v>1285</v>
      </c>
    </row>
    <row r="14">
      <c r="A14" s="34" t="s">
        <v>1286</v>
      </c>
      <c r="B14" s="34" t="s">
        <v>1287</v>
      </c>
      <c r="C14" s="34" t="s">
        <v>1288</v>
      </c>
      <c r="D14" s="115" t="s">
        <v>1248</v>
      </c>
      <c r="E14" s="114"/>
    </row>
    <row r="15">
      <c r="A15" s="34" t="s">
        <v>1289</v>
      </c>
      <c r="B15" s="34" t="s">
        <v>1290</v>
      </c>
      <c r="C15" s="34" t="s">
        <v>1291</v>
      </c>
      <c r="D15" s="115" t="s">
        <v>1292</v>
      </c>
      <c r="E15" s="114"/>
    </row>
    <row r="16">
      <c r="A16" s="116" t="s">
        <v>1293</v>
      </c>
      <c r="B16" s="116" t="s">
        <v>1294</v>
      </c>
      <c r="C16" s="116" t="s">
        <v>1295</v>
      </c>
      <c r="D16" s="117" t="s">
        <v>1272</v>
      </c>
      <c r="E16" s="114"/>
    </row>
    <row r="17">
      <c r="A17" s="34" t="s">
        <v>1296</v>
      </c>
      <c r="B17" s="34" t="s">
        <v>1297</v>
      </c>
      <c r="C17" s="34" t="s">
        <v>1298</v>
      </c>
      <c r="D17" s="115" t="s">
        <v>1292</v>
      </c>
      <c r="E17" s="114"/>
    </row>
    <row r="18">
      <c r="A18" s="34" t="s">
        <v>1299</v>
      </c>
      <c r="B18" s="34" t="s">
        <v>1300</v>
      </c>
      <c r="C18" s="34" t="s">
        <v>937</v>
      </c>
      <c r="D18" s="115" t="s">
        <v>1248</v>
      </c>
      <c r="E18" s="114"/>
    </row>
    <row r="19">
      <c r="A19" s="116" t="s">
        <v>1301</v>
      </c>
      <c r="B19" s="116" t="s">
        <v>1302</v>
      </c>
      <c r="C19" s="116" t="s">
        <v>1303</v>
      </c>
      <c r="D19" s="117" t="s">
        <v>1272</v>
      </c>
      <c r="E19" s="114"/>
    </row>
    <row r="20">
      <c r="A20" s="116" t="s">
        <v>1304</v>
      </c>
      <c r="B20" s="116" t="s">
        <v>1305</v>
      </c>
      <c r="C20" s="116" t="s">
        <v>1306</v>
      </c>
      <c r="D20" s="117" t="s">
        <v>1272</v>
      </c>
      <c r="E20" s="114"/>
    </row>
    <row r="21">
      <c r="A21" s="116" t="s">
        <v>1307</v>
      </c>
      <c r="B21" s="116" t="s">
        <v>1308</v>
      </c>
      <c r="C21" s="116" t="s">
        <v>1309</v>
      </c>
      <c r="D21" s="117" t="s">
        <v>1272</v>
      </c>
      <c r="E21" s="114"/>
    </row>
    <row r="22">
      <c r="A22" s="34" t="s">
        <v>1310</v>
      </c>
      <c r="B22" s="34" t="s">
        <v>1311</v>
      </c>
      <c r="C22" s="28" t="s">
        <v>1312</v>
      </c>
      <c r="D22" s="115" t="s">
        <v>1313</v>
      </c>
      <c r="E22" s="114"/>
    </row>
    <row r="23">
      <c r="A23" s="116" t="s">
        <v>1314</v>
      </c>
      <c r="B23" s="116" t="s">
        <v>1315</v>
      </c>
      <c r="C23" s="116" t="s">
        <v>1316</v>
      </c>
      <c r="D23" s="117" t="s">
        <v>1317</v>
      </c>
      <c r="E23" s="114"/>
    </row>
    <row r="24">
      <c r="A24" s="116" t="s">
        <v>1318</v>
      </c>
      <c r="B24" s="116" t="s">
        <v>1319</v>
      </c>
      <c r="C24" s="116" t="s">
        <v>1320</v>
      </c>
      <c r="D24" s="117" t="s">
        <v>1272</v>
      </c>
      <c r="E24" s="114"/>
    </row>
    <row r="25">
      <c r="A25" s="116" t="s">
        <v>1321</v>
      </c>
      <c r="B25" s="116" t="s">
        <v>1322</v>
      </c>
      <c r="C25" s="116" t="s">
        <v>1323</v>
      </c>
      <c r="D25" s="117" t="s">
        <v>1272</v>
      </c>
      <c r="E25" s="114"/>
    </row>
    <row r="26">
      <c r="A26" s="34" t="s">
        <v>1324</v>
      </c>
      <c r="B26" s="34" t="s">
        <v>1325</v>
      </c>
      <c r="C26" s="34" t="s">
        <v>1326</v>
      </c>
      <c r="D26" s="115" t="s">
        <v>1292</v>
      </c>
      <c r="E26" s="114"/>
    </row>
    <row r="27">
      <c r="A27" s="116" t="s">
        <v>1327</v>
      </c>
      <c r="B27" s="116" t="s">
        <v>1328</v>
      </c>
      <c r="C27" s="116" t="s">
        <v>1329</v>
      </c>
      <c r="D27" s="117" t="s">
        <v>1272</v>
      </c>
      <c r="E27" s="114"/>
    </row>
    <row r="28">
      <c r="A28" s="116" t="s">
        <v>1330</v>
      </c>
      <c r="B28" s="116" t="s">
        <v>1331</v>
      </c>
      <c r="C28" s="116" t="s">
        <v>1332</v>
      </c>
      <c r="D28" s="117" t="s">
        <v>1272</v>
      </c>
      <c r="E28" s="114"/>
    </row>
    <row r="29">
      <c r="A29" s="34" t="s">
        <v>1333</v>
      </c>
      <c r="B29" s="34" t="s">
        <v>1334</v>
      </c>
      <c r="C29" s="34" t="s">
        <v>1335</v>
      </c>
      <c r="D29" s="115" t="s">
        <v>1248</v>
      </c>
      <c r="E29" s="114"/>
    </row>
    <row r="30">
      <c r="A30" s="34" t="s">
        <v>1336</v>
      </c>
      <c r="B30" s="34" t="s">
        <v>1337</v>
      </c>
      <c r="C30" s="34" t="s">
        <v>1338</v>
      </c>
      <c r="D30" s="115" t="s">
        <v>1248</v>
      </c>
      <c r="E30" s="114"/>
    </row>
    <row r="31">
      <c r="A31" s="34" t="s">
        <v>1339</v>
      </c>
      <c r="B31" s="34" t="s">
        <v>1340</v>
      </c>
      <c r="C31" s="34" t="s">
        <v>1341</v>
      </c>
      <c r="D31" s="115" t="s">
        <v>1248</v>
      </c>
      <c r="E31" s="114"/>
    </row>
    <row r="32">
      <c r="A32" s="116" t="s">
        <v>1342</v>
      </c>
      <c r="B32" s="116" t="s">
        <v>1343</v>
      </c>
      <c r="C32" s="116" t="s">
        <v>1344</v>
      </c>
      <c r="D32" s="117" t="s">
        <v>1272</v>
      </c>
      <c r="E32" s="114"/>
    </row>
    <row r="33">
      <c r="A33" s="116" t="s">
        <v>1345</v>
      </c>
      <c r="B33" s="116" t="s">
        <v>1346</v>
      </c>
      <c r="C33" s="116" t="s">
        <v>1347</v>
      </c>
      <c r="D33" s="117" t="s">
        <v>1272</v>
      </c>
      <c r="E33" s="114"/>
    </row>
    <row r="34">
      <c r="A34" s="34" t="s">
        <v>1348</v>
      </c>
      <c r="B34" s="34" t="s">
        <v>1349</v>
      </c>
      <c r="C34" s="34" t="s">
        <v>1350</v>
      </c>
      <c r="D34" s="39" t="s">
        <v>1265</v>
      </c>
      <c r="E34" s="114"/>
    </row>
    <row r="35">
      <c r="A35" s="116" t="s">
        <v>1351</v>
      </c>
      <c r="B35" s="116" t="s">
        <v>1352</v>
      </c>
      <c r="C35" s="116" t="s">
        <v>1353</v>
      </c>
      <c r="D35" s="117" t="s">
        <v>1292</v>
      </c>
      <c r="E35" s="114"/>
    </row>
    <row r="36">
      <c r="A36" s="116" t="s">
        <v>1354</v>
      </c>
      <c r="B36" s="116" t="s">
        <v>1355</v>
      </c>
      <c r="C36" s="28" t="s">
        <v>1356</v>
      </c>
      <c r="D36" s="117" t="s">
        <v>1272</v>
      </c>
      <c r="E36" s="114"/>
    </row>
    <row r="37">
      <c r="A37" s="116" t="s">
        <v>1357</v>
      </c>
      <c r="B37" s="116" t="s">
        <v>1358</v>
      </c>
      <c r="C37" s="116" t="s">
        <v>179</v>
      </c>
      <c r="D37" s="117" t="s">
        <v>1272</v>
      </c>
      <c r="E37" s="114"/>
    </row>
    <row r="38">
      <c r="A38" s="34" t="s">
        <v>1359</v>
      </c>
      <c r="B38" s="34" t="s">
        <v>1360</v>
      </c>
      <c r="C38" s="34" t="s">
        <v>1361</v>
      </c>
      <c r="D38" s="115" t="s">
        <v>1313</v>
      </c>
      <c r="E38" s="114"/>
    </row>
    <row r="39">
      <c r="A39" s="34" t="s">
        <v>1362</v>
      </c>
      <c r="B39" s="34" t="s">
        <v>1363</v>
      </c>
      <c r="C39" s="34" t="s">
        <v>1364</v>
      </c>
      <c r="D39" s="115" t="s">
        <v>1292</v>
      </c>
      <c r="E39" s="114"/>
    </row>
    <row r="40">
      <c r="A40" s="116" t="s">
        <v>1365</v>
      </c>
      <c r="B40" s="116" t="s">
        <v>1366</v>
      </c>
      <c r="C40" s="116" t="s">
        <v>1367</v>
      </c>
      <c r="D40" s="117" t="s">
        <v>1272</v>
      </c>
      <c r="E40" s="116" t="s">
        <v>1368</v>
      </c>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7.38"/>
    <col customWidth="1" min="3" max="3" width="6.63"/>
    <col customWidth="1" min="4" max="4" width="8.63"/>
    <col customWidth="1" min="5" max="5" width="5.88"/>
    <col customWidth="1" min="6" max="6" width="6.13"/>
    <col customWidth="1" min="7" max="7" width="9.25"/>
    <col customWidth="1" min="8" max="8" width="7.88"/>
    <col customWidth="1" min="9" max="9" width="8.0"/>
    <col customWidth="1" min="10" max="10" width="10.13"/>
    <col customWidth="1" min="11" max="11" width="5.5"/>
    <col customWidth="1" min="12" max="12" width="6.75"/>
    <col customWidth="1" min="13" max="13" width="8.5"/>
    <col customWidth="1" min="14" max="15" width="8.88"/>
    <col customWidth="1" min="16" max="16" width="9.25"/>
    <col customWidth="1" min="17" max="17" width="9.13"/>
    <col customWidth="1" min="18" max="18" width="7.88"/>
    <col customWidth="1" min="19" max="19" width="8.0"/>
    <col customWidth="1" min="20" max="20" width="8.75"/>
    <col customWidth="1" min="21" max="21" width="11.5"/>
    <col customWidth="1" min="22" max="22" width="8.88"/>
    <col customWidth="1" min="23" max="23" width="10.63"/>
    <col customWidth="1" min="24" max="24" width="10.38"/>
    <col customWidth="1" min="25" max="25" width="10.63"/>
    <col customWidth="1" min="26" max="26" width="13.13"/>
    <col customWidth="1" min="27" max="27" width="10.63"/>
  </cols>
  <sheetData>
    <row r="1">
      <c r="A1" s="118" t="s">
        <v>17</v>
      </c>
      <c r="B1" s="119" t="s">
        <v>1369</v>
      </c>
      <c r="C1" s="120" t="s">
        <v>1370</v>
      </c>
      <c r="D1" s="121" t="s">
        <v>1371</v>
      </c>
      <c r="E1" s="122" t="s">
        <v>1372</v>
      </c>
      <c r="F1" s="123" t="s">
        <v>1373</v>
      </c>
      <c r="G1" s="124" t="s">
        <v>1374</v>
      </c>
      <c r="H1" s="125" t="s">
        <v>1375</v>
      </c>
      <c r="I1" s="126" t="s">
        <v>1376</v>
      </c>
      <c r="J1" s="127" t="s">
        <v>1377</v>
      </c>
      <c r="K1" s="128" t="s">
        <v>1378</v>
      </c>
      <c r="L1" s="129" t="s">
        <v>1379</v>
      </c>
      <c r="M1" s="130" t="s">
        <v>1380</v>
      </c>
      <c r="N1" s="130" t="s">
        <v>1381</v>
      </c>
      <c r="O1" s="130" t="s">
        <v>1382</v>
      </c>
      <c r="P1" s="130" t="s">
        <v>1383</v>
      </c>
      <c r="Q1" s="131" t="s">
        <v>1384</v>
      </c>
      <c r="R1" s="132" t="s">
        <v>1385</v>
      </c>
      <c r="S1" s="133" t="s">
        <v>1386</v>
      </c>
      <c r="T1" s="134" t="s">
        <v>1387</v>
      </c>
      <c r="U1" s="121" t="s">
        <v>1388</v>
      </c>
      <c r="V1" s="135" t="s">
        <v>1389</v>
      </c>
      <c r="W1" s="136" t="s">
        <v>1390</v>
      </c>
      <c r="X1" s="137" t="s">
        <v>1391</v>
      </c>
      <c r="Y1" s="138" t="s">
        <v>1392</v>
      </c>
      <c r="Z1" s="139" t="s">
        <v>1393</v>
      </c>
      <c r="AA1" s="140" t="s">
        <v>1394</v>
      </c>
      <c r="AB1" s="25" t="s">
        <v>1395</v>
      </c>
    </row>
    <row r="2">
      <c r="A2" s="32" t="s">
        <v>1074</v>
      </c>
      <c r="B2" s="141">
        <v>1120.0</v>
      </c>
      <c r="C2" s="141">
        <v>140.0</v>
      </c>
      <c r="D2" s="141">
        <v>102.0</v>
      </c>
      <c r="E2" s="141">
        <v>52.0</v>
      </c>
      <c r="F2" s="141">
        <v>19.0</v>
      </c>
      <c r="G2" s="142">
        <v>27.0</v>
      </c>
      <c r="H2" s="142">
        <v>50.0</v>
      </c>
      <c r="I2" s="142">
        <v>40.0</v>
      </c>
      <c r="J2" s="142">
        <v>15.0</v>
      </c>
      <c r="K2" s="142">
        <v>15.0</v>
      </c>
      <c r="L2" s="142">
        <v>10.0</v>
      </c>
      <c r="M2" s="143">
        <v>0.19</v>
      </c>
      <c r="N2" s="143">
        <v>0.2</v>
      </c>
      <c r="O2" s="143">
        <v>0.19</v>
      </c>
      <c r="P2" s="143">
        <v>0.2</v>
      </c>
      <c r="Q2" s="143">
        <v>0.19</v>
      </c>
      <c r="R2" s="143">
        <v>0.19</v>
      </c>
      <c r="S2" s="143">
        <v>0.2</v>
      </c>
      <c r="T2" s="143">
        <v>0.17</v>
      </c>
      <c r="U2" s="141">
        <v>102.0</v>
      </c>
      <c r="V2" s="141">
        <v>102.0</v>
      </c>
      <c r="W2" s="141">
        <v>95.0</v>
      </c>
      <c r="X2" s="141">
        <v>95.0</v>
      </c>
      <c r="Y2" s="141">
        <v>59.0</v>
      </c>
      <c r="Z2" s="141">
        <v>59.0</v>
      </c>
      <c r="AA2" s="141">
        <v>59.0</v>
      </c>
      <c r="AB2" s="141">
        <v>40.0</v>
      </c>
    </row>
    <row r="3">
      <c r="A3" s="32" t="s">
        <v>1075</v>
      </c>
      <c r="B3" s="142">
        <v>1280.0</v>
      </c>
      <c r="C3" s="142">
        <v>115.0</v>
      </c>
      <c r="D3" s="142">
        <v>124.0</v>
      </c>
      <c r="E3" s="142">
        <v>60.0</v>
      </c>
      <c r="F3" s="142">
        <v>14.0</v>
      </c>
      <c r="G3" s="142">
        <v>38.0</v>
      </c>
      <c r="H3" s="141">
        <v>41.0</v>
      </c>
      <c r="I3" s="141">
        <v>31.0</v>
      </c>
      <c r="J3" s="142">
        <v>10.0</v>
      </c>
      <c r="K3" s="142">
        <v>21.0</v>
      </c>
      <c r="L3" s="142">
        <v>10.0</v>
      </c>
      <c r="M3" s="143">
        <v>0.24</v>
      </c>
      <c r="N3" s="143">
        <v>0.25</v>
      </c>
      <c r="O3" s="143">
        <v>0.24</v>
      </c>
      <c r="P3" s="143">
        <v>0.2</v>
      </c>
      <c r="Q3" s="143">
        <v>0.19</v>
      </c>
      <c r="R3" s="143">
        <v>0.14</v>
      </c>
      <c r="S3" s="143">
        <v>0.15</v>
      </c>
      <c r="T3" s="143">
        <v>0.17</v>
      </c>
      <c r="U3" s="141">
        <v>112.0</v>
      </c>
      <c r="V3" s="141">
        <v>112.0</v>
      </c>
      <c r="W3" s="141">
        <v>85.0</v>
      </c>
      <c r="X3" s="141">
        <v>85.0</v>
      </c>
      <c r="Y3" s="141">
        <v>69.0</v>
      </c>
      <c r="Z3" s="141">
        <v>69.0</v>
      </c>
      <c r="AA3" s="141">
        <v>59.0</v>
      </c>
      <c r="AB3" s="141">
        <v>120.0</v>
      </c>
    </row>
    <row r="4">
      <c r="A4" s="32" t="s">
        <v>1076</v>
      </c>
      <c r="B4" s="142">
        <v>820.0</v>
      </c>
      <c r="C4" s="142">
        <v>115.0</v>
      </c>
      <c r="D4" s="142">
        <v>104.0</v>
      </c>
      <c r="E4" s="142">
        <v>37.0</v>
      </c>
      <c r="F4" s="142">
        <v>14.0</v>
      </c>
      <c r="G4" s="142">
        <v>28.0</v>
      </c>
      <c r="H4" s="142">
        <v>19.0</v>
      </c>
      <c r="I4" s="142">
        <v>57.0</v>
      </c>
      <c r="J4" s="142">
        <v>7.0</v>
      </c>
      <c r="K4" s="142">
        <v>13.0</v>
      </c>
      <c r="L4" s="142">
        <v>13.0</v>
      </c>
      <c r="M4" s="143">
        <v>0.19</v>
      </c>
      <c r="N4" s="143">
        <v>0.15</v>
      </c>
      <c r="O4" s="143">
        <v>0.14</v>
      </c>
      <c r="P4" s="143">
        <v>0.15</v>
      </c>
      <c r="Q4" s="143">
        <v>0.19</v>
      </c>
      <c r="R4" s="143">
        <v>0.14</v>
      </c>
      <c r="S4" s="143">
        <v>0.2</v>
      </c>
      <c r="T4" s="143">
        <v>0.17</v>
      </c>
      <c r="U4" s="141">
        <v>112.0</v>
      </c>
      <c r="V4" s="141">
        <v>112.0</v>
      </c>
      <c r="W4" s="141">
        <v>85.0</v>
      </c>
      <c r="X4" s="141">
        <v>85.0</v>
      </c>
      <c r="Y4" s="141">
        <v>69.0</v>
      </c>
      <c r="Z4" s="141">
        <v>69.0</v>
      </c>
      <c r="AA4" s="141">
        <v>59.0</v>
      </c>
      <c r="AB4" s="141">
        <v>40.0</v>
      </c>
    </row>
    <row r="5">
      <c r="A5" s="32" t="s">
        <v>1077</v>
      </c>
      <c r="B5" s="142">
        <v>860.0</v>
      </c>
      <c r="C5" s="142">
        <v>180.0</v>
      </c>
      <c r="D5" s="142">
        <v>84.0</v>
      </c>
      <c r="E5" s="142">
        <v>39.0</v>
      </c>
      <c r="F5" s="142">
        <v>27.0</v>
      </c>
      <c r="G5" s="142">
        <v>18.0</v>
      </c>
      <c r="H5" s="142">
        <v>11.0</v>
      </c>
      <c r="I5" s="141">
        <v>45.0</v>
      </c>
      <c r="J5" s="142">
        <v>42.0</v>
      </c>
      <c r="K5" s="142">
        <v>27.0</v>
      </c>
      <c r="L5" s="142">
        <v>11.0</v>
      </c>
      <c r="M5" s="143">
        <v>0.19</v>
      </c>
      <c r="N5" s="143">
        <v>0.15</v>
      </c>
      <c r="O5" s="143">
        <v>0.14</v>
      </c>
      <c r="P5" s="143">
        <v>0.15</v>
      </c>
      <c r="Q5" s="143">
        <v>0.28</v>
      </c>
      <c r="R5" s="143">
        <v>0.22</v>
      </c>
      <c r="S5" s="143">
        <v>0.22</v>
      </c>
      <c r="T5" s="143">
        <v>0.23</v>
      </c>
      <c r="U5" s="141">
        <v>102.0</v>
      </c>
      <c r="V5" s="141">
        <v>102.0</v>
      </c>
      <c r="W5" s="141">
        <v>85.0</v>
      </c>
      <c r="X5" s="141">
        <v>85.0</v>
      </c>
      <c r="Y5" s="141">
        <v>69.0</v>
      </c>
      <c r="Z5" s="141">
        <v>69.0</v>
      </c>
      <c r="AA5" s="141">
        <v>59.0</v>
      </c>
      <c r="AB5" s="141">
        <v>40.0</v>
      </c>
    </row>
    <row r="6">
      <c r="A6" s="32" t="s">
        <v>1078</v>
      </c>
      <c r="B6" s="142">
        <v>1200.0</v>
      </c>
      <c r="C6" s="142">
        <v>95.0</v>
      </c>
      <c r="D6" s="142">
        <v>122.0</v>
      </c>
      <c r="E6" s="142">
        <v>56.0</v>
      </c>
      <c r="F6" s="142">
        <v>10.0</v>
      </c>
      <c r="G6" s="142">
        <v>37.0</v>
      </c>
      <c r="H6" s="142">
        <v>68.0</v>
      </c>
      <c r="I6" s="142">
        <v>19.0</v>
      </c>
      <c r="J6" s="142">
        <v>3.0</v>
      </c>
      <c r="K6" s="142">
        <v>12.0</v>
      </c>
      <c r="L6" s="142">
        <v>10.0</v>
      </c>
      <c r="M6" s="143">
        <v>0.24</v>
      </c>
      <c r="N6" s="143">
        <v>0.25</v>
      </c>
      <c r="O6" s="143">
        <v>0.24</v>
      </c>
      <c r="P6" s="143">
        <v>0.15</v>
      </c>
      <c r="Q6" s="143">
        <v>0.14</v>
      </c>
      <c r="R6" s="143">
        <v>0.24</v>
      </c>
      <c r="S6" s="143">
        <v>0.15</v>
      </c>
      <c r="T6" s="143">
        <v>0.17</v>
      </c>
      <c r="U6" s="141">
        <v>102.0</v>
      </c>
      <c r="V6" s="141">
        <v>102.0</v>
      </c>
      <c r="W6" s="141">
        <v>95.0</v>
      </c>
      <c r="X6" s="141">
        <v>95.0</v>
      </c>
      <c r="Y6" s="141">
        <v>49.0</v>
      </c>
      <c r="Z6" s="141">
        <v>49.0</v>
      </c>
      <c r="AA6" s="141">
        <v>59.0</v>
      </c>
      <c r="AB6" s="141">
        <v>120.0</v>
      </c>
    </row>
    <row r="7">
      <c r="A7" s="32" t="s">
        <v>1079</v>
      </c>
      <c r="B7" s="142">
        <v>760.0</v>
      </c>
      <c r="C7" s="142">
        <v>200.0</v>
      </c>
      <c r="D7" s="142">
        <v>82.0</v>
      </c>
      <c r="E7" s="142">
        <v>34.0</v>
      </c>
      <c r="F7" s="142">
        <v>31.0</v>
      </c>
      <c r="G7" s="142">
        <v>17.0</v>
      </c>
      <c r="H7" s="142">
        <v>21.0</v>
      </c>
      <c r="I7" s="142">
        <v>21.0</v>
      </c>
      <c r="J7" s="142">
        <v>30.0</v>
      </c>
      <c r="K7" s="142">
        <v>51.0</v>
      </c>
      <c r="L7" s="142">
        <v>12.0</v>
      </c>
      <c r="M7" s="143">
        <v>0.14</v>
      </c>
      <c r="N7" s="143">
        <v>0.1</v>
      </c>
      <c r="O7" s="143">
        <v>0.14</v>
      </c>
      <c r="P7" s="143">
        <v>0.1</v>
      </c>
      <c r="Q7" s="143">
        <v>0.28</v>
      </c>
      <c r="R7" s="143">
        <v>0.29</v>
      </c>
      <c r="S7" s="143">
        <v>0.29</v>
      </c>
      <c r="T7" s="143">
        <v>0.2</v>
      </c>
      <c r="U7" s="141">
        <v>112.0</v>
      </c>
      <c r="V7" s="141">
        <v>112.0</v>
      </c>
      <c r="W7" s="141">
        <v>85.0</v>
      </c>
      <c r="X7" s="141">
        <v>85.0</v>
      </c>
      <c r="Y7" s="141">
        <v>69.0</v>
      </c>
      <c r="Z7" s="141">
        <v>69.0</v>
      </c>
      <c r="AA7" s="141">
        <v>69.0</v>
      </c>
      <c r="AB7" s="141">
        <v>40.0</v>
      </c>
    </row>
    <row r="8" ht="18.0" customHeight="1">
      <c r="A8" s="32" t="s">
        <v>1080</v>
      </c>
      <c r="B8" s="142">
        <v>740.0</v>
      </c>
      <c r="C8" s="142">
        <v>195.0</v>
      </c>
      <c r="D8" s="142">
        <v>94.0</v>
      </c>
      <c r="E8" s="142">
        <v>33.0</v>
      </c>
      <c r="F8" s="142">
        <v>30.0</v>
      </c>
      <c r="G8" s="142">
        <v>23.0</v>
      </c>
      <c r="H8" s="142">
        <v>12.0</v>
      </c>
      <c r="I8" s="142">
        <v>19.0</v>
      </c>
      <c r="J8" s="142">
        <v>51.0</v>
      </c>
      <c r="K8" s="142">
        <v>51.0</v>
      </c>
      <c r="L8" s="142">
        <v>10.0</v>
      </c>
      <c r="M8" s="143">
        <v>0.14</v>
      </c>
      <c r="N8" s="143">
        <v>0.1</v>
      </c>
      <c r="O8" s="143">
        <v>0.14</v>
      </c>
      <c r="P8" s="143">
        <v>0.1</v>
      </c>
      <c r="Q8" s="143">
        <v>0.29</v>
      </c>
      <c r="R8" s="143">
        <v>0.24</v>
      </c>
      <c r="S8" s="143">
        <v>0.25</v>
      </c>
      <c r="T8" s="143">
        <v>0.25</v>
      </c>
      <c r="U8" s="141">
        <v>112.0</v>
      </c>
      <c r="V8" s="141">
        <v>112.0</v>
      </c>
      <c r="W8" s="141">
        <v>85.0</v>
      </c>
      <c r="X8" s="141">
        <v>85.0</v>
      </c>
      <c r="Y8" s="141">
        <v>69.0</v>
      </c>
      <c r="Z8" s="141">
        <v>69.0</v>
      </c>
      <c r="AA8" s="141">
        <v>59.0</v>
      </c>
      <c r="AB8" s="141">
        <v>40.0</v>
      </c>
    </row>
    <row r="9">
      <c r="A9" s="32" t="s">
        <v>1081</v>
      </c>
      <c r="B9" s="142">
        <v>1000.0</v>
      </c>
      <c r="C9" s="142">
        <v>100.0</v>
      </c>
      <c r="D9" s="142">
        <v>102.0</v>
      </c>
      <c r="E9" s="142">
        <v>46.0</v>
      </c>
      <c r="F9" s="142">
        <v>11.0</v>
      </c>
      <c r="G9" s="142">
        <v>27.0</v>
      </c>
      <c r="H9" s="142">
        <v>25.0</v>
      </c>
      <c r="I9" s="142">
        <v>63.0</v>
      </c>
      <c r="J9" s="142">
        <v>8.0</v>
      </c>
      <c r="K9" s="142">
        <v>6.0</v>
      </c>
      <c r="L9" s="142">
        <v>28.0</v>
      </c>
      <c r="M9" s="143">
        <v>0.24</v>
      </c>
      <c r="N9" s="143">
        <v>0.25</v>
      </c>
      <c r="O9" s="143">
        <v>0.24</v>
      </c>
      <c r="P9" s="143">
        <v>0.25</v>
      </c>
      <c r="Q9" s="143">
        <v>0.14</v>
      </c>
      <c r="R9" s="143">
        <v>0.19</v>
      </c>
      <c r="S9" s="143">
        <v>0.15</v>
      </c>
      <c r="T9" s="143">
        <v>0.22</v>
      </c>
      <c r="U9" s="141">
        <v>92.0</v>
      </c>
      <c r="V9" s="141">
        <v>92.0</v>
      </c>
      <c r="W9" s="141">
        <v>105.0</v>
      </c>
      <c r="X9" s="141">
        <v>105.0</v>
      </c>
      <c r="Y9" s="141">
        <v>49.0</v>
      </c>
      <c r="Z9" s="141">
        <v>49.0</v>
      </c>
      <c r="AA9" s="141">
        <v>69.0</v>
      </c>
      <c r="AB9" s="141">
        <v>40.0</v>
      </c>
    </row>
    <row r="10">
      <c r="A10" s="32" t="s">
        <v>1082</v>
      </c>
      <c r="B10" s="142">
        <v>900.0</v>
      </c>
      <c r="C10" s="142">
        <v>145.0</v>
      </c>
      <c r="D10" s="142">
        <v>98.0</v>
      </c>
      <c r="E10" s="142">
        <v>41.0</v>
      </c>
      <c r="F10" s="142">
        <v>20.0</v>
      </c>
      <c r="G10" s="142">
        <v>25.0</v>
      </c>
      <c r="H10" s="142">
        <v>14.0</v>
      </c>
      <c r="I10" s="142">
        <v>18.0</v>
      </c>
      <c r="J10" s="142">
        <v>28.0</v>
      </c>
      <c r="K10" s="142">
        <v>15.0</v>
      </c>
      <c r="L10" s="142">
        <v>50.0</v>
      </c>
      <c r="M10" s="143">
        <v>0.19</v>
      </c>
      <c r="N10" s="143">
        <v>0.17</v>
      </c>
      <c r="O10" s="143">
        <v>0.15</v>
      </c>
      <c r="P10" s="143">
        <v>0.2</v>
      </c>
      <c r="Q10" s="143">
        <v>0.27</v>
      </c>
      <c r="R10" s="143">
        <v>0.25</v>
      </c>
      <c r="S10" s="143">
        <v>0.24</v>
      </c>
      <c r="T10" s="143">
        <v>0.09</v>
      </c>
      <c r="U10" s="141">
        <v>102.0</v>
      </c>
      <c r="V10" s="141">
        <v>102.0</v>
      </c>
      <c r="W10" s="141">
        <v>85.0</v>
      </c>
      <c r="X10" s="141">
        <v>59.0</v>
      </c>
      <c r="Y10" s="141">
        <v>85.0</v>
      </c>
      <c r="Z10" s="141">
        <v>69.0</v>
      </c>
      <c r="AA10" s="141">
        <v>69.0</v>
      </c>
      <c r="AB10" s="141">
        <v>40.0</v>
      </c>
    </row>
    <row r="11">
      <c r="A11" s="32" t="s">
        <v>1083</v>
      </c>
      <c r="B11" s="144">
        <v>1040.0</v>
      </c>
      <c r="C11" s="142">
        <v>115.0</v>
      </c>
      <c r="D11" s="142">
        <v>92.0</v>
      </c>
      <c r="E11" s="142">
        <v>48.0</v>
      </c>
      <c r="F11" s="142">
        <v>14.0</v>
      </c>
      <c r="G11" s="142">
        <v>22.0</v>
      </c>
      <c r="H11" s="142">
        <v>50.0</v>
      </c>
      <c r="I11" s="142">
        <v>13.0</v>
      </c>
      <c r="J11" s="142">
        <v>5.0</v>
      </c>
      <c r="K11" s="142">
        <v>41.0</v>
      </c>
      <c r="L11" s="142">
        <v>10.0</v>
      </c>
      <c r="M11" s="143">
        <v>0.18</v>
      </c>
      <c r="N11" s="143">
        <v>0.12</v>
      </c>
      <c r="O11" s="143">
        <v>0.18</v>
      </c>
      <c r="P11" s="143">
        <v>0.12</v>
      </c>
      <c r="Q11" s="143">
        <v>0.2</v>
      </c>
      <c r="R11" s="143">
        <v>0.17</v>
      </c>
      <c r="S11" s="143">
        <v>0.2</v>
      </c>
      <c r="T11" s="143">
        <v>0.26</v>
      </c>
      <c r="U11" s="141">
        <v>102.0</v>
      </c>
      <c r="V11" s="141">
        <v>102.0</v>
      </c>
      <c r="W11" s="141">
        <v>85.0</v>
      </c>
      <c r="X11" s="141">
        <v>79.0</v>
      </c>
      <c r="Y11" s="141">
        <v>95.0</v>
      </c>
      <c r="Z11" s="141">
        <v>49.0</v>
      </c>
      <c r="AA11" s="141">
        <v>59.0</v>
      </c>
      <c r="AB11" s="141">
        <v>40.0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0.0"/>
    <col customWidth="1" min="2" max="2" width="9.88"/>
    <col customWidth="1" min="3" max="3" width="11.5"/>
    <col customWidth="1" min="4" max="4" width="11.25"/>
    <col customWidth="1" min="5" max="5" width="13.38"/>
    <col customWidth="1" min="6" max="6" width="11.75"/>
    <col customWidth="1" min="7" max="7" width="12.0"/>
    <col customWidth="1" min="8" max="8" width="14.0"/>
    <col customWidth="1" min="9" max="9" width="11.88"/>
    <col customWidth="1" min="10" max="10" width="12.38"/>
    <col customWidth="1" min="11" max="11" width="14.13"/>
    <col customWidth="1" min="12" max="12" width="12.75"/>
    <col customWidth="1" min="13" max="13" width="13.13"/>
    <col customWidth="1" min="14" max="14" width="15.5"/>
    <col customWidth="1" min="15" max="15" width="16.0"/>
    <col customWidth="1" min="16" max="16" width="16.38"/>
    <col customWidth="1" min="17" max="17" width="16.88"/>
    <col customWidth="1" min="18" max="18" width="16.63"/>
    <col customWidth="1" min="19" max="19" width="15.13"/>
    <col customWidth="1" min="20" max="20" width="15.25"/>
    <col customWidth="1" min="21" max="21" width="15.5"/>
    <col customWidth="1" min="22" max="22" width="15.13"/>
    <col customWidth="1" min="23" max="23" width="14.25"/>
    <col customWidth="1" min="24" max="24" width="17.0"/>
    <col customWidth="1" min="25" max="25" width="14.5"/>
    <col customWidth="1" min="26" max="26" width="14.25"/>
  </cols>
  <sheetData>
    <row r="1">
      <c r="A1" s="145"/>
      <c r="B1" s="145"/>
      <c r="C1" s="146" t="s">
        <v>1396</v>
      </c>
      <c r="E1" s="147"/>
      <c r="F1" s="145"/>
      <c r="G1" s="145"/>
      <c r="H1" s="145"/>
      <c r="I1" s="145"/>
      <c r="J1" s="145"/>
      <c r="K1" s="148"/>
      <c r="L1" s="148"/>
      <c r="M1" s="148"/>
      <c r="N1" s="148"/>
      <c r="O1" s="148"/>
      <c r="P1" s="148"/>
      <c r="Q1" s="148"/>
      <c r="R1" s="148"/>
      <c r="S1" s="148"/>
      <c r="T1" s="148"/>
      <c r="U1" s="148"/>
      <c r="V1" s="148"/>
      <c r="W1" s="148"/>
      <c r="X1" s="148"/>
      <c r="Y1" s="148"/>
      <c r="Z1" s="149"/>
    </row>
    <row r="2" ht="22.5" customHeight="1">
      <c r="A2" s="150" t="s">
        <v>17</v>
      </c>
      <c r="B2" s="150" t="s">
        <v>13</v>
      </c>
      <c r="C2" s="150" t="s">
        <v>1372</v>
      </c>
      <c r="D2" s="150" t="s">
        <v>1373</v>
      </c>
      <c r="E2" s="150" t="s">
        <v>1374</v>
      </c>
      <c r="F2" s="150" t="s">
        <v>1375</v>
      </c>
      <c r="G2" s="150" t="s">
        <v>1376</v>
      </c>
      <c r="H2" s="150" t="s">
        <v>1377</v>
      </c>
      <c r="I2" s="150" t="s">
        <v>1378</v>
      </c>
      <c r="J2" s="150" t="s">
        <v>1379</v>
      </c>
      <c r="K2" s="151" t="s">
        <v>1380</v>
      </c>
      <c r="L2" s="151" t="s">
        <v>1381</v>
      </c>
      <c r="M2" s="151" t="s">
        <v>1382</v>
      </c>
      <c r="N2" s="151" t="s">
        <v>1383</v>
      </c>
      <c r="O2" s="151" t="s">
        <v>1384</v>
      </c>
      <c r="P2" s="151" t="s">
        <v>1385</v>
      </c>
      <c r="Q2" s="151" t="s">
        <v>1386</v>
      </c>
      <c r="R2" s="151" t="s">
        <v>1387</v>
      </c>
      <c r="S2" s="151" t="s">
        <v>1388</v>
      </c>
      <c r="T2" s="151" t="s">
        <v>1389</v>
      </c>
      <c r="U2" s="151" t="s">
        <v>1390</v>
      </c>
      <c r="V2" s="151" t="s">
        <v>1391</v>
      </c>
      <c r="W2" s="151" t="s">
        <v>1392</v>
      </c>
      <c r="X2" s="151" t="s">
        <v>1393</v>
      </c>
      <c r="Y2" s="151" t="s">
        <v>1394</v>
      </c>
      <c r="Z2" s="152" t="s">
        <v>1395</v>
      </c>
    </row>
    <row r="3" ht="22.5" customHeight="1">
      <c r="A3" s="153" t="s">
        <v>1081</v>
      </c>
      <c r="B3" s="154">
        <v>8.0</v>
      </c>
      <c r="C3" s="153">
        <v>29.0</v>
      </c>
      <c r="D3" s="153">
        <v>6.0</v>
      </c>
      <c r="E3" s="153">
        <v>16.0</v>
      </c>
      <c r="F3" s="153">
        <v>16.0</v>
      </c>
      <c r="G3" s="153">
        <v>44.0</v>
      </c>
      <c r="H3" s="153">
        <v>5.0</v>
      </c>
      <c r="I3" s="153">
        <v>4.0</v>
      </c>
      <c r="J3" s="153">
        <v>28.0</v>
      </c>
      <c r="K3" s="155">
        <v>0.24</v>
      </c>
      <c r="L3" s="155">
        <v>0.25</v>
      </c>
      <c r="M3" s="155">
        <v>0.24</v>
      </c>
      <c r="N3" s="155">
        <v>0.25</v>
      </c>
      <c r="O3" s="155">
        <v>0.14</v>
      </c>
      <c r="P3" s="155">
        <v>0.19</v>
      </c>
      <c r="Q3" s="155">
        <v>0.15</v>
      </c>
      <c r="R3" s="155">
        <v>0.22</v>
      </c>
      <c r="S3" s="154">
        <v>92.0</v>
      </c>
      <c r="T3" s="154">
        <v>92.0</v>
      </c>
      <c r="U3" s="154">
        <v>105.0</v>
      </c>
      <c r="V3" s="154">
        <v>105.0</v>
      </c>
      <c r="W3" s="154">
        <v>49.0</v>
      </c>
      <c r="X3" s="154">
        <v>49.0</v>
      </c>
      <c r="Y3" s="154">
        <v>69.0</v>
      </c>
      <c r="Z3" s="154">
        <v>40.0</v>
      </c>
    </row>
    <row r="4" ht="22.5" customHeight="1">
      <c r="A4" s="154" t="s">
        <v>1074</v>
      </c>
      <c r="B4" s="154">
        <v>1.0</v>
      </c>
      <c r="C4" s="154">
        <v>8.0</v>
      </c>
      <c r="D4" s="154">
        <v>4.0</v>
      </c>
      <c r="E4" s="154">
        <v>3.0</v>
      </c>
      <c r="F4" s="154">
        <v>5.0</v>
      </c>
      <c r="G4" s="154">
        <v>4.0</v>
      </c>
      <c r="H4" s="154">
        <v>2.0</v>
      </c>
      <c r="I4" s="154">
        <v>2.0</v>
      </c>
      <c r="J4" s="154">
        <v>10.0</v>
      </c>
      <c r="K4" s="155">
        <v>0.19</v>
      </c>
      <c r="L4" s="155">
        <v>0.2</v>
      </c>
      <c r="M4" s="155">
        <v>0.19</v>
      </c>
      <c r="N4" s="155">
        <v>0.2</v>
      </c>
      <c r="O4" s="155">
        <v>0.19</v>
      </c>
      <c r="P4" s="155">
        <v>0.19</v>
      </c>
      <c r="Q4" s="155">
        <v>0.2</v>
      </c>
      <c r="R4" s="155">
        <v>0.17</v>
      </c>
      <c r="S4" s="154">
        <v>102.0</v>
      </c>
      <c r="T4" s="154">
        <v>102.0</v>
      </c>
      <c r="U4" s="154">
        <v>95.0</v>
      </c>
      <c r="V4" s="154">
        <v>95.0</v>
      </c>
      <c r="W4" s="154">
        <v>59.0</v>
      </c>
      <c r="X4" s="154">
        <v>59.0</v>
      </c>
      <c r="Y4" s="154">
        <v>59.0</v>
      </c>
      <c r="Z4" s="154">
        <v>40.0</v>
      </c>
    </row>
    <row r="5" ht="22.5" customHeight="1">
      <c r="A5" s="154" t="s">
        <v>1074</v>
      </c>
      <c r="B5" s="154">
        <v>2.0</v>
      </c>
      <c r="C5" s="154">
        <v>16.0</v>
      </c>
      <c r="D5" s="154">
        <v>6.0</v>
      </c>
      <c r="E5" s="154">
        <v>6.0</v>
      </c>
      <c r="F5" s="154">
        <v>18.0</v>
      </c>
      <c r="G5" s="154">
        <v>15.0</v>
      </c>
      <c r="H5" s="154">
        <v>4.0</v>
      </c>
      <c r="I5" s="154">
        <v>4.0</v>
      </c>
      <c r="J5" s="154">
        <v>10.0</v>
      </c>
      <c r="K5" s="155">
        <v>0.19</v>
      </c>
      <c r="L5" s="155">
        <v>0.2</v>
      </c>
      <c r="M5" s="155">
        <v>0.19</v>
      </c>
      <c r="N5" s="155">
        <v>0.2</v>
      </c>
      <c r="O5" s="155">
        <v>0.19</v>
      </c>
      <c r="P5" s="155">
        <v>0.19</v>
      </c>
      <c r="Q5" s="155">
        <v>0.2</v>
      </c>
      <c r="R5" s="155">
        <v>0.17</v>
      </c>
      <c r="S5" s="154">
        <v>102.0</v>
      </c>
      <c r="T5" s="154">
        <v>102.0</v>
      </c>
      <c r="U5" s="154">
        <v>95.0</v>
      </c>
      <c r="V5" s="154">
        <v>95.0</v>
      </c>
      <c r="W5" s="154">
        <v>59.0</v>
      </c>
      <c r="X5" s="154">
        <v>59.0</v>
      </c>
      <c r="Y5" s="154">
        <v>59.0</v>
      </c>
      <c r="Z5" s="154">
        <v>40.0</v>
      </c>
    </row>
    <row r="6" ht="22.5" customHeight="1">
      <c r="A6" s="154" t="s">
        <v>1074</v>
      </c>
      <c r="B6" s="154">
        <v>3.0</v>
      </c>
      <c r="C6" s="154">
        <v>19.0</v>
      </c>
      <c r="D6" s="154">
        <v>7.0</v>
      </c>
      <c r="E6" s="154">
        <v>7.0</v>
      </c>
      <c r="F6" s="154">
        <v>20.0</v>
      </c>
      <c r="G6" s="154">
        <v>17.0</v>
      </c>
      <c r="H6" s="154">
        <v>4.0</v>
      </c>
      <c r="I6" s="154">
        <v>4.0</v>
      </c>
      <c r="J6" s="154">
        <v>10.0</v>
      </c>
      <c r="K6" s="155">
        <v>0.19</v>
      </c>
      <c r="L6" s="155">
        <v>0.2</v>
      </c>
      <c r="M6" s="155">
        <v>0.19</v>
      </c>
      <c r="N6" s="155">
        <v>0.2</v>
      </c>
      <c r="O6" s="155">
        <v>0.19</v>
      </c>
      <c r="P6" s="155">
        <v>0.19</v>
      </c>
      <c r="Q6" s="155">
        <v>0.2</v>
      </c>
      <c r="R6" s="155">
        <v>0.17</v>
      </c>
      <c r="S6" s="154">
        <v>102.0</v>
      </c>
      <c r="T6" s="154">
        <v>102.0</v>
      </c>
      <c r="U6" s="154">
        <v>95.0</v>
      </c>
      <c r="V6" s="154">
        <v>95.0</v>
      </c>
      <c r="W6" s="154">
        <v>59.0</v>
      </c>
      <c r="X6" s="154">
        <v>59.0</v>
      </c>
      <c r="Y6" s="154">
        <v>59.0</v>
      </c>
      <c r="Z6" s="154">
        <v>40.0</v>
      </c>
    </row>
    <row r="7" ht="22.5" customHeight="1">
      <c r="A7" s="154" t="s">
        <v>1074</v>
      </c>
      <c r="B7" s="154">
        <v>4.0</v>
      </c>
      <c r="C7" s="154">
        <v>22.0</v>
      </c>
      <c r="D7" s="154">
        <v>8.0</v>
      </c>
      <c r="E7" s="154">
        <v>9.0</v>
      </c>
      <c r="F7" s="154">
        <v>23.0</v>
      </c>
      <c r="G7" s="154">
        <v>19.0</v>
      </c>
      <c r="H7" s="154">
        <v>5.0</v>
      </c>
      <c r="I7" s="154">
        <v>5.0</v>
      </c>
      <c r="J7" s="154">
        <v>10.0</v>
      </c>
      <c r="K7" s="155">
        <v>0.19</v>
      </c>
      <c r="L7" s="155">
        <v>0.2</v>
      </c>
      <c r="M7" s="155">
        <v>0.19</v>
      </c>
      <c r="N7" s="155">
        <v>0.2</v>
      </c>
      <c r="O7" s="155">
        <v>0.19</v>
      </c>
      <c r="P7" s="155">
        <v>0.19</v>
      </c>
      <c r="Q7" s="155">
        <v>0.2</v>
      </c>
      <c r="R7" s="155">
        <v>0.17</v>
      </c>
      <c r="S7" s="154">
        <v>102.0</v>
      </c>
      <c r="T7" s="154">
        <v>102.0</v>
      </c>
      <c r="U7" s="154">
        <v>95.0</v>
      </c>
      <c r="V7" s="154">
        <v>95.0</v>
      </c>
      <c r="W7" s="154">
        <v>59.0</v>
      </c>
      <c r="X7" s="154">
        <v>59.0</v>
      </c>
      <c r="Y7" s="154">
        <v>59.0</v>
      </c>
      <c r="Z7" s="154">
        <v>40.0</v>
      </c>
    </row>
    <row r="8" ht="22.5" customHeight="1">
      <c r="A8" s="154" t="s">
        <v>1074</v>
      </c>
      <c r="B8" s="154">
        <v>5.0</v>
      </c>
      <c r="C8" s="154">
        <v>25.0</v>
      </c>
      <c r="D8" s="154">
        <v>9.0</v>
      </c>
      <c r="E8" s="154">
        <v>11.0</v>
      </c>
      <c r="F8" s="154">
        <v>25.0</v>
      </c>
      <c r="G8" s="154">
        <v>21.0</v>
      </c>
      <c r="H8" s="154">
        <v>6.0</v>
      </c>
      <c r="I8" s="154">
        <v>6.0</v>
      </c>
      <c r="J8" s="154">
        <v>10.0</v>
      </c>
      <c r="K8" s="155">
        <v>0.19</v>
      </c>
      <c r="L8" s="155">
        <v>0.2</v>
      </c>
      <c r="M8" s="155">
        <v>0.19</v>
      </c>
      <c r="N8" s="155">
        <v>0.2</v>
      </c>
      <c r="O8" s="155">
        <v>0.19</v>
      </c>
      <c r="P8" s="155">
        <v>0.19</v>
      </c>
      <c r="Q8" s="155">
        <v>0.2</v>
      </c>
      <c r="R8" s="155">
        <v>0.17</v>
      </c>
      <c r="S8" s="154">
        <v>102.0</v>
      </c>
      <c r="T8" s="154">
        <v>102.0</v>
      </c>
      <c r="U8" s="154">
        <v>95.0</v>
      </c>
      <c r="V8" s="154">
        <v>95.0</v>
      </c>
      <c r="W8" s="154">
        <v>59.0</v>
      </c>
      <c r="X8" s="154">
        <v>59.0</v>
      </c>
      <c r="Y8" s="154">
        <v>59.0</v>
      </c>
      <c r="Z8" s="154">
        <v>40.0</v>
      </c>
    </row>
    <row r="9" ht="18.0" customHeight="1">
      <c r="A9" s="154" t="s">
        <v>1074</v>
      </c>
      <c r="B9" s="154">
        <v>6.0</v>
      </c>
      <c r="C9" s="154">
        <v>28.0</v>
      </c>
      <c r="D9" s="154">
        <v>10.0</v>
      </c>
      <c r="E9" s="154">
        <v>13.0</v>
      </c>
      <c r="F9" s="154">
        <v>28.0</v>
      </c>
      <c r="G9" s="154">
        <v>23.0</v>
      </c>
      <c r="H9" s="154">
        <v>7.0</v>
      </c>
      <c r="I9" s="154">
        <v>7.0</v>
      </c>
      <c r="J9" s="154">
        <v>10.0</v>
      </c>
      <c r="K9" s="155">
        <v>0.19</v>
      </c>
      <c r="L9" s="155">
        <v>0.2</v>
      </c>
      <c r="M9" s="155">
        <v>0.19</v>
      </c>
      <c r="N9" s="155">
        <v>0.2</v>
      </c>
      <c r="O9" s="155">
        <v>0.19</v>
      </c>
      <c r="P9" s="155">
        <v>0.19</v>
      </c>
      <c r="Q9" s="155">
        <v>0.2</v>
      </c>
      <c r="R9" s="155">
        <v>0.17</v>
      </c>
      <c r="S9" s="154">
        <v>102.0</v>
      </c>
      <c r="T9" s="154">
        <v>102.0</v>
      </c>
      <c r="U9" s="154">
        <v>95.0</v>
      </c>
      <c r="V9" s="154">
        <v>95.0</v>
      </c>
      <c r="W9" s="154">
        <v>59.0</v>
      </c>
      <c r="X9" s="154">
        <v>59.0</v>
      </c>
      <c r="Y9" s="154">
        <v>59.0</v>
      </c>
      <c r="Z9" s="154">
        <v>40.0</v>
      </c>
    </row>
    <row r="10" ht="22.5" customHeight="1">
      <c r="A10" s="154" t="s">
        <v>1074</v>
      </c>
      <c r="B10" s="154">
        <v>7.0</v>
      </c>
      <c r="C10" s="154">
        <v>31.0</v>
      </c>
      <c r="D10" s="154">
        <v>11.0</v>
      </c>
      <c r="E10" s="154">
        <v>15.0</v>
      </c>
      <c r="F10" s="154">
        <v>31.0</v>
      </c>
      <c r="G10" s="154">
        <v>25.0</v>
      </c>
      <c r="H10" s="154">
        <v>8.0</v>
      </c>
      <c r="I10" s="154">
        <v>8.0</v>
      </c>
      <c r="J10" s="154">
        <v>10.0</v>
      </c>
      <c r="K10" s="155">
        <v>0.19</v>
      </c>
      <c r="L10" s="155">
        <v>0.2</v>
      </c>
      <c r="M10" s="155">
        <v>0.19</v>
      </c>
      <c r="N10" s="155">
        <v>0.2</v>
      </c>
      <c r="O10" s="155">
        <v>0.19</v>
      </c>
      <c r="P10" s="155">
        <v>0.19</v>
      </c>
      <c r="Q10" s="155">
        <v>0.2</v>
      </c>
      <c r="R10" s="155">
        <v>0.17</v>
      </c>
      <c r="S10" s="154">
        <v>102.0</v>
      </c>
      <c r="T10" s="154">
        <v>102.0</v>
      </c>
      <c r="U10" s="154">
        <v>95.0</v>
      </c>
      <c r="V10" s="154">
        <v>95.0</v>
      </c>
      <c r="W10" s="154">
        <v>59.0</v>
      </c>
      <c r="X10" s="154">
        <v>59.0</v>
      </c>
      <c r="Y10" s="154">
        <v>59.0</v>
      </c>
      <c r="Z10" s="154">
        <v>40.0</v>
      </c>
    </row>
    <row r="11" ht="22.5" customHeight="1">
      <c r="A11" s="154" t="s">
        <v>1074</v>
      </c>
      <c r="B11" s="154">
        <v>8.0</v>
      </c>
      <c r="C11" s="154">
        <v>34.0</v>
      </c>
      <c r="D11" s="154">
        <v>12.0</v>
      </c>
      <c r="E11" s="154">
        <v>16.0</v>
      </c>
      <c r="F11" s="154">
        <v>33.0</v>
      </c>
      <c r="G11" s="154">
        <v>27.0</v>
      </c>
      <c r="H11" s="154">
        <v>8.0</v>
      </c>
      <c r="I11" s="154">
        <v>8.0</v>
      </c>
      <c r="J11" s="154">
        <v>10.0</v>
      </c>
      <c r="K11" s="155">
        <v>0.19</v>
      </c>
      <c r="L11" s="155">
        <v>0.2</v>
      </c>
      <c r="M11" s="155">
        <v>0.19</v>
      </c>
      <c r="N11" s="155">
        <v>0.2</v>
      </c>
      <c r="O11" s="155">
        <v>0.19</v>
      </c>
      <c r="P11" s="155">
        <v>0.19</v>
      </c>
      <c r="Q11" s="155">
        <v>0.2</v>
      </c>
      <c r="R11" s="155">
        <v>0.17</v>
      </c>
      <c r="S11" s="154">
        <v>102.0</v>
      </c>
      <c r="T11" s="154">
        <v>102.0</v>
      </c>
      <c r="U11" s="154">
        <v>95.0</v>
      </c>
      <c r="V11" s="154">
        <v>95.0</v>
      </c>
      <c r="W11" s="154">
        <v>59.0</v>
      </c>
      <c r="X11" s="154">
        <v>59.0</v>
      </c>
      <c r="Y11" s="154">
        <v>59.0</v>
      </c>
      <c r="Z11" s="154">
        <v>40.0</v>
      </c>
    </row>
    <row r="12" ht="22.5" customHeight="1">
      <c r="A12" s="154" t="s">
        <v>1074</v>
      </c>
      <c r="B12" s="156">
        <v>9.0</v>
      </c>
      <c r="C12" s="156">
        <v>37.0</v>
      </c>
      <c r="D12" s="156">
        <v>13.0</v>
      </c>
      <c r="E12" s="156">
        <v>18.0</v>
      </c>
      <c r="F12" s="156">
        <v>36.0</v>
      </c>
      <c r="G12" s="156">
        <v>29.0</v>
      </c>
      <c r="H12" s="156">
        <v>9.0</v>
      </c>
      <c r="I12" s="156">
        <v>9.0</v>
      </c>
      <c r="J12" s="154">
        <v>10.0</v>
      </c>
      <c r="K12" s="155">
        <v>0.19</v>
      </c>
      <c r="L12" s="155">
        <v>0.2</v>
      </c>
      <c r="M12" s="155">
        <v>0.19</v>
      </c>
      <c r="N12" s="155">
        <v>0.2</v>
      </c>
      <c r="O12" s="155">
        <v>0.19</v>
      </c>
      <c r="P12" s="155">
        <v>0.19</v>
      </c>
      <c r="Q12" s="155">
        <v>0.2</v>
      </c>
      <c r="R12" s="155">
        <v>0.17</v>
      </c>
      <c r="S12" s="154">
        <v>102.0</v>
      </c>
      <c r="T12" s="154">
        <v>102.0</v>
      </c>
      <c r="U12" s="154">
        <v>95.0</v>
      </c>
      <c r="V12" s="154">
        <v>95.0</v>
      </c>
      <c r="W12" s="154">
        <v>59.0</v>
      </c>
      <c r="X12" s="154">
        <v>59.0</v>
      </c>
      <c r="Y12" s="154">
        <v>59.0</v>
      </c>
      <c r="Z12" s="154">
        <v>40.0</v>
      </c>
    </row>
    <row r="13" ht="22.5" customHeight="1">
      <c r="A13" s="154" t="s">
        <v>1074</v>
      </c>
      <c r="B13" s="156">
        <v>10.0</v>
      </c>
      <c r="C13" s="156">
        <v>40.0</v>
      </c>
      <c r="D13" s="156">
        <v>14.0</v>
      </c>
      <c r="E13" s="156">
        <v>20.0</v>
      </c>
      <c r="F13" s="156">
        <v>38.0</v>
      </c>
      <c r="G13" s="156">
        <v>31.0</v>
      </c>
      <c r="H13" s="156">
        <v>10.0</v>
      </c>
      <c r="I13" s="156">
        <v>10.0</v>
      </c>
      <c r="J13" s="154">
        <v>10.0</v>
      </c>
      <c r="K13" s="155">
        <v>0.19</v>
      </c>
      <c r="L13" s="155">
        <v>0.2</v>
      </c>
      <c r="M13" s="155">
        <v>0.19</v>
      </c>
      <c r="N13" s="155">
        <v>0.2</v>
      </c>
      <c r="O13" s="155">
        <v>0.19</v>
      </c>
      <c r="P13" s="155">
        <v>0.19</v>
      </c>
      <c r="Q13" s="155">
        <v>0.2</v>
      </c>
      <c r="R13" s="155">
        <v>0.17</v>
      </c>
      <c r="S13" s="154">
        <v>102.0</v>
      </c>
      <c r="T13" s="154">
        <v>102.0</v>
      </c>
      <c r="U13" s="154">
        <v>95.0</v>
      </c>
      <c r="V13" s="154">
        <v>95.0</v>
      </c>
      <c r="W13" s="154">
        <v>59.0</v>
      </c>
      <c r="X13" s="154">
        <v>59.0</v>
      </c>
      <c r="Y13" s="154">
        <v>59.0</v>
      </c>
      <c r="Z13" s="154">
        <v>40.0</v>
      </c>
    </row>
    <row r="14" ht="22.5" customHeight="1">
      <c r="A14" s="154" t="s">
        <v>1074</v>
      </c>
      <c r="B14" s="154">
        <v>11.0</v>
      </c>
      <c r="C14" s="154">
        <v>43.0</v>
      </c>
      <c r="D14" s="154">
        <v>15.0</v>
      </c>
      <c r="E14" s="154">
        <v>22.0</v>
      </c>
      <c r="F14" s="154">
        <v>41.0</v>
      </c>
      <c r="G14" s="154">
        <v>33.0</v>
      </c>
      <c r="H14" s="154">
        <v>11.0</v>
      </c>
      <c r="I14" s="154">
        <v>11.0</v>
      </c>
      <c r="J14" s="154">
        <v>10.0</v>
      </c>
      <c r="K14" s="155">
        <v>0.19</v>
      </c>
      <c r="L14" s="155">
        <v>0.2</v>
      </c>
      <c r="M14" s="155">
        <v>0.19</v>
      </c>
      <c r="N14" s="155">
        <v>0.2</v>
      </c>
      <c r="O14" s="155">
        <v>0.19</v>
      </c>
      <c r="P14" s="155">
        <v>0.19</v>
      </c>
      <c r="Q14" s="155">
        <v>0.2</v>
      </c>
      <c r="R14" s="155">
        <v>0.17</v>
      </c>
      <c r="S14" s="154">
        <v>102.0</v>
      </c>
      <c r="T14" s="154">
        <v>102.0</v>
      </c>
      <c r="U14" s="154">
        <v>95.0</v>
      </c>
      <c r="V14" s="154">
        <v>95.0</v>
      </c>
      <c r="W14" s="154">
        <v>59.0</v>
      </c>
      <c r="X14" s="154">
        <v>59.0</v>
      </c>
      <c r="Y14" s="154">
        <v>59.0</v>
      </c>
      <c r="Z14" s="154">
        <v>40.0</v>
      </c>
    </row>
    <row r="15" ht="22.5" customHeight="1">
      <c r="A15" s="154" t="s">
        <v>1074</v>
      </c>
      <c r="B15" s="154">
        <v>12.0</v>
      </c>
      <c r="C15" s="154">
        <v>46.0</v>
      </c>
      <c r="D15" s="154">
        <v>16.0</v>
      </c>
      <c r="E15" s="154">
        <v>24.0</v>
      </c>
      <c r="F15" s="154">
        <v>44.0</v>
      </c>
      <c r="G15" s="154">
        <v>35.0</v>
      </c>
      <c r="H15" s="154">
        <v>12.0</v>
      </c>
      <c r="I15" s="154">
        <v>12.0</v>
      </c>
      <c r="J15" s="154">
        <v>10.0</v>
      </c>
      <c r="K15" s="155">
        <v>0.19</v>
      </c>
      <c r="L15" s="155">
        <v>0.2</v>
      </c>
      <c r="M15" s="155">
        <v>0.19</v>
      </c>
      <c r="N15" s="155">
        <v>0.2</v>
      </c>
      <c r="O15" s="155">
        <v>0.19</v>
      </c>
      <c r="P15" s="155">
        <v>0.19</v>
      </c>
      <c r="Q15" s="155">
        <v>0.2</v>
      </c>
      <c r="R15" s="155">
        <v>0.17</v>
      </c>
      <c r="S15" s="154">
        <v>102.0</v>
      </c>
      <c r="T15" s="154">
        <v>102.0</v>
      </c>
      <c r="U15" s="154">
        <v>95.0</v>
      </c>
      <c r="V15" s="154">
        <v>95.0</v>
      </c>
      <c r="W15" s="154">
        <v>59.0</v>
      </c>
      <c r="X15" s="154">
        <v>59.0</v>
      </c>
      <c r="Y15" s="154">
        <v>59.0</v>
      </c>
      <c r="Z15" s="154">
        <v>40.0</v>
      </c>
    </row>
    <row r="16" ht="22.5" customHeight="1">
      <c r="A16" s="154" t="s">
        <v>1074</v>
      </c>
      <c r="B16" s="154">
        <v>13.0</v>
      </c>
      <c r="C16" s="154">
        <v>48.0</v>
      </c>
      <c r="D16" s="154">
        <v>17.0</v>
      </c>
      <c r="E16" s="154">
        <v>25.0</v>
      </c>
      <c r="F16" s="154">
        <v>46.0</v>
      </c>
      <c r="G16" s="154">
        <v>36.0</v>
      </c>
      <c r="H16" s="154">
        <v>13.0</v>
      </c>
      <c r="I16" s="154">
        <v>13.0</v>
      </c>
      <c r="J16" s="154">
        <v>10.0</v>
      </c>
      <c r="K16" s="155">
        <v>0.19</v>
      </c>
      <c r="L16" s="155">
        <v>0.2</v>
      </c>
      <c r="M16" s="155">
        <v>0.19</v>
      </c>
      <c r="N16" s="155">
        <v>0.2</v>
      </c>
      <c r="O16" s="155">
        <v>0.19</v>
      </c>
      <c r="P16" s="155">
        <v>0.19</v>
      </c>
      <c r="Q16" s="155">
        <v>0.2</v>
      </c>
      <c r="R16" s="155">
        <v>0.17</v>
      </c>
      <c r="S16" s="154">
        <v>102.0</v>
      </c>
      <c r="T16" s="154">
        <v>102.0</v>
      </c>
      <c r="U16" s="154">
        <v>95.0</v>
      </c>
      <c r="V16" s="154">
        <v>95.0</v>
      </c>
      <c r="W16" s="154">
        <v>59.0</v>
      </c>
      <c r="X16" s="154">
        <v>59.0</v>
      </c>
      <c r="Y16" s="154">
        <v>59.0</v>
      </c>
      <c r="Z16" s="154">
        <v>40.0</v>
      </c>
    </row>
    <row r="17" ht="22.5" customHeight="1">
      <c r="A17" s="154" t="s">
        <v>1074</v>
      </c>
      <c r="B17" s="154">
        <v>14.0</v>
      </c>
      <c r="C17" s="154">
        <v>50.0</v>
      </c>
      <c r="D17" s="154">
        <v>18.0</v>
      </c>
      <c r="E17" s="154">
        <v>26.0</v>
      </c>
      <c r="F17" s="154">
        <v>48.0</v>
      </c>
      <c r="G17" s="154">
        <v>38.0</v>
      </c>
      <c r="H17" s="154">
        <v>14.0</v>
      </c>
      <c r="I17" s="154">
        <v>14.0</v>
      </c>
      <c r="J17" s="154">
        <v>10.0</v>
      </c>
      <c r="K17" s="155">
        <v>0.19</v>
      </c>
      <c r="L17" s="155">
        <v>0.2</v>
      </c>
      <c r="M17" s="155">
        <v>0.19</v>
      </c>
      <c r="N17" s="155">
        <v>0.2</v>
      </c>
      <c r="O17" s="155">
        <v>0.19</v>
      </c>
      <c r="P17" s="155">
        <v>0.19</v>
      </c>
      <c r="Q17" s="155">
        <v>0.2</v>
      </c>
      <c r="R17" s="155">
        <v>0.17</v>
      </c>
      <c r="S17" s="154">
        <v>102.0</v>
      </c>
      <c r="T17" s="154">
        <v>102.0</v>
      </c>
      <c r="U17" s="154">
        <v>95.0</v>
      </c>
      <c r="V17" s="154">
        <v>95.0</v>
      </c>
      <c r="W17" s="154">
        <v>59.0</v>
      </c>
      <c r="X17" s="154">
        <v>59.0</v>
      </c>
      <c r="Y17" s="154">
        <v>59.0</v>
      </c>
      <c r="Z17" s="154">
        <v>40.0</v>
      </c>
    </row>
    <row r="18" ht="22.5" customHeight="1">
      <c r="A18" s="154" t="s">
        <v>1074</v>
      </c>
      <c r="B18" s="154">
        <v>15.0</v>
      </c>
      <c r="C18" s="154">
        <v>52.0</v>
      </c>
      <c r="D18" s="154">
        <v>19.0</v>
      </c>
      <c r="E18" s="154">
        <v>27.0</v>
      </c>
      <c r="F18" s="154">
        <v>50.0</v>
      </c>
      <c r="G18" s="154">
        <v>40.0</v>
      </c>
      <c r="H18" s="154">
        <v>15.0</v>
      </c>
      <c r="I18" s="154">
        <v>15.0</v>
      </c>
      <c r="J18" s="154">
        <v>10.0</v>
      </c>
      <c r="K18" s="155">
        <v>0.19</v>
      </c>
      <c r="L18" s="155">
        <v>0.2</v>
      </c>
      <c r="M18" s="155">
        <v>0.19</v>
      </c>
      <c r="N18" s="155">
        <v>0.2</v>
      </c>
      <c r="O18" s="155">
        <v>0.19</v>
      </c>
      <c r="P18" s="155">
        <v>0.19</v>
      </c>
      <c r="Q18" s="155">
        <v>0.2</v>
      </c>
      <c r="R18" s="155">
        <v>0.17</v>
      </c>
      <c r="S18" s="154">
        <v>102.0</v>
      </c>
      <c r="T18" s="154">
        <v>102.0</v>
      </c>
      <c r="U18" s="154">
        <v>95.0</v>
      </c>
      <c r="V18" s="154">
        <v>95.0</v>
      </c>
      <c r="W18" s="154">
        <v>59.0</v>
      </c>
      <c r="X18" s="154">
        <v>59.0</v>
      </c>
      <c r="Y18" s="154">
        <v>59.0</v>
      </c>
      <c r="Z18" s="154">
        <v>40.0</v>
      </c>
    </row>
    <row r="19" ht="22.5" customHeight="1">
      <c r="A19" s="153" t="s">
        <v>1081</v>
      </c>
      <c r="B19" s="156">
        <v>9.0</v>
      </c>
      <c r="C19" s="153">
        <v>32.0</v>
      </c>
      <c r="D19" s="153">
        <v>7.0</v>
      </c>
      <c r="E19" s="153">
        <v>18.0</v>
      </c>
      <c r="F19" s="153">
        <v>18.0</v>
      </c>
      <c r="G19" s="153">
        <v>48.0</v>
      </c>
      <c r="H19" s="153">
        <v>5.0</v>
      </c>
      <c r="I19" s="153">
        <v>4.0</v>
      </c>
      <c r="J19" s="153">
        <v>28.0</v>
      </c>
      <c r="K19" s="155">
        <v>0.24</v>
      </c>
      <c r="L19" s="155">
        <v>0.25</v>
      </c>
      <c r="M19" s="155">
        <v>0.24</v>
      </c>
      <c r="N19" s="155">
        <v>0.25</v>
      </c>
      <c r="O19" s="155">
        <v>0.14</v>
      </c>
      <c r="P19" s="155">
        <v>0.19</v>
      </c>
      <c r="Q19" s="155">
        <v>0.15</v>
      </c>
      <c r="R19" s="155">
        <v>0.22</v>
      </c>
      <c r="S19" s="154">
        <v>92.0</v>
      </c>
      <c r="T19" s="154">
        <v>92.0</v>
      </c>
      <c r="U19" s="154">
        <v>105.0</v>
      </c>
      <c r="V19" s="154">
        <v>105.0</v>
      </c>
      <c r="W19" s="154">
        <v>49.0</v>
      </c>
      <c r="X19" s="154">
        <v>49.0</v>
      </c>
      <c r="Y19" s="154">
        <v>69.0</v>
      </c>
      <c r="Z19" s="154">
        <v>40.0</v>
      </c>
    </row>
    <row r="20" ht="22.5" customHeight="1">
      <c r="A20" s="154" t="s">
        <v>1075</v>
      </c>
      <c r="B20" s="154">
        <v>1.0</v>
      </c>
      <c r="C20" s="154">
        <v>10.0</v>
      </c>
      <c r="D20" s="154">
        <v>2.0</v>
      </c>
      <c r="E20" s="154">
        <v>6.0</v>
      </c>
      <c r="F20" s="154">
        <v>4.0</v>
      </c>
      <c r="G20" s="154">
        <v>3.0</v>
      </c>
      <c r="H20" s="154">
        <v>2.0</v>
      </c>
      <c r="I20" s="154">
        <v>3.0</v>
      </c>
      <c r="J20" s="154">
        <v>10.0</v>
      </c>
      <c r="K20" s="155">
        <v>0.24</v>
      </c>
      <c r="L20" s="155">
        <v>0.25</v>
      </c>
      <c r="M20" s="155">
        <v>0.24</v>
      </c>
      <c r="N20" s="155">
        <v>0.2</v>
      </c>
      <c r="O20" s="155">
        <v>0.19</v>
      </c>
      <c r="P20" s="155">
        <v>0.14</v>
      </c>
      <c r="Q20" s="155">
        <v>0.15</v>
      </c>
      <c r="R20" s="155">
        <v>0.17</v>
      </c>
      <c r="S20" s="154">
        <v>112.0</v>
      </c>
      <c r="T20" s="154">
        <v>112.0</v>
      </c>
      <c r="U20" s="154">
        <v>85.0</v>
      </c>
      <c r="V20" s="154">
        <v>85.0</v>
      </c>
      <c r="W20" s="154">
        <v>69.0</v>
      </c>
      <c r="X20" s="154">
        <v>69.0</v>
      </c>
      <c r="Y20" s="154">
        <v>59.0</v>
      </c>
      <c r="Z20" s="154">
        <v>120.0</v>
      </c>
    </row>
    <row r="21" ht="22.5" customHeight="1">
      <c r="A21" s="154" t="s">
        <v>1075</v>
      </c>
      <c r="B21" s="154">
        <v>2.0</v>
      </c>
      <c r="C21" s="154">
        <v>19.0</v>
      </c>
      <c r="D21" s="154">
        <v>3.0</v>
      </c>
      <c r="E21" s="154">
        <v>12.0</v>
      </c>
      <c r="F21" s="154">
        <v>10.0</v>
      </c>
      <c r="G21" s="154">
        <v>8.0</v>
      </c>
      <c r="H21" s="154">
        <v>3.0</v>
      </c>
      <c r="I21" s="154">
        <v>5.0</v>
      </c>
      <c r="J21" s="154">
        <v>10.0</v>
      </c>
      <c r="K21" s="155">
        <v>0.24</v>
      </c>
      <c r="L21" s="155">
        <v>0.25</v>
      </c>
      <c r="M21" s="155">
        <v>0.24</v>
      </c>
      <c r="N21" s="155">
        <v>0.2</v>
      </c>
      <c r="O21" s="155">
        <v>0.19</v>
      </c>
      <c r="P21" s="155">
        <v>0.14</v>
      </c>
      <c r="Q21" s="155">
        <v>0.15</v>
      </c>
      <c r="R21" s="155">
        <v>0.17</v>
      </c>
      <c r="S21" s="154">
        <v>112.0</v>
      </c>
      <c r="T21" s="154">
        <v>112.0</v>
      </c>
      <c r="U21" s="154">
        <v>85.0</v>
      </c>
      <c r="V21" s="154">
        <v>85.0</v>
      </c>
      <c r="W21" s="154">
        <v>69.0</v>
      </c>
      <c r="X21" s="154">
        <v>69.0</v>
      </c>
      <c r="Y21" s="154">
        <v>59.0</v>
      </c>
      <c r="Z21" s="154">
        <v>120.0</v>
      </c>
    </row>
    <row r="22" ht="22.5" customHeight="1">
      <c r="A22" s="154" t="s">
        <v>1075</v>
      </c>
      <c r="B22" s="154">
        <v>3.0</v>
      </c>
      <c r="C22" s="154">
        <v>22.0</v>
      </c>
      <c r="D22" s="154">
        <v>3.0</v>
      </c>
      <c r="E22" s="154">
        <v>14.0</v>
      </c>
      <c r="F22" s="154">
        <v>12.0</v>
      </c>
      <c r="G22" s="154">
        <v>9.0</v>
      </c>
      <c r="H22" s="154">
        <v>3.0</v>
      </c>
      <c r="I22" s="154">
        <v>6.0</v>
      </c>
      <c r="J22" s="154">
        <v>10.0</v>
      </c>
      <c r="K22" s="155">
        <v>0.24</v>
      </c>
      <c r="L22" s="155">
        <v>0.25</v>
      </c>
      <c r="M22" s="155">
        <v>0.24</v>
      </c>
      <c r="N22" s="155">
        <v>0.2</v>
      </c>
      <c r="O22" s="155">
        <v>0.19</v>
      </c>
      <c r="P22" s="155">
        <v>0.14</v>
      </c>
      <c r="Q22" s="155">
        <v>0.15</v>
      </c>
      <c r="R22" s="155">
        <v>0.17</v>
      </c>
      <c r="S22" s="154">
        <v>112.0</v>
      </c>
      <c r="T22" s="154">
        <v>112.0</v>
      </c>
      <c r="U22" s="154">
        <v>85.0</v>
      </c>
      <c r="V22" s="154">
        <v>85.0</v>
      </c>
      <c r="W22" s="154">
        <v>69.0</v>
      </c>
      <c r="X22" s="154">
        <v>69.0</v>
      </c>
      <c r="Y22" s="154">
        <v>59.0</v>
      </c>
      <c r="Z22" s="154">
        <v>120.0</v>
      </c>
    </row>
    <row r="23" ht="22.5" customHeight="1">
      <c r="A23" s="154" t="s">
        <v>1075</v>
      </c>
      <c r="B23" s="154">
        <v>4.0</v>
      </c>
      <c r="C23" s="154">
        <v>26.0</v>
      </c>
      <c r="D23" s="154">
        <v>4.0</v>
      </c>
      <c r="E23" s="154">
        <v>16.0</v>
      </c>
      <c r="F23" s="154">
        <v>14.0</v>
      </c>
      <c r="G23" s="154">
        <v>11.0</v>
      </c>
      <c r="H23" s="154">
        <v>4.0</v>
      </c>
      <c r="I23" s="154">
        <v>7.0</v>
      </c>
      <c r="J23" s="154">
        <v>10.0</v>
      </c>
      <c r="K23" s="155">
        <v>0.24</v>
      </c>
      <c r="L23" s="155">
        <v>0.25</v>
      </c>
      <c r="M23" s="155">
        <v>0.24</v>
      </c>
      <c r="N23" s="155">
        <v>0.2</v>
      </c>
      <c r="O23" s="155">
        <v>0.19</v>
      </c>
      <c r="P23" s="155">
        <v>0.14</v>
      </c>
      <c r="Q23" s="155">
        <v>0.15</v>
      </c>
      <c r="R23" s="155">
        <v>0.17</v>
      </c>
      <c r="S23" s="154">
        <v>112.0</v>
      </c>
      <c r="T23" s="154">
        <v>112.0</v>
      </c>
      <c r="U23" s="154">
        <v>85.0</v>
      </c>
      <c r="V23" s="154">
        <v>85.0</v>
      </c>
      <c r="W23" s="154">
        <v>69.0</v>
      </c>
      <c r="X23" s="154">
        <v>69.0</v>
      </c>
      <c r="Y23" s="154">
        <v>59.0</v>
      </c>
      <c r="Z23" s="154">
        <v>120.0</v>
      </c>
    </row>
    <row r="24" ht="22.5" customHeight="1">
      <c r="A24" s="154" t="s">
        <v>1075</v>
      </c>
      <c r="B24" s="154">
        <v>5.0</v>
      </c>
      <c r="C24" s="154">
        <v>29.0</v>
      </c>
      <c r="D24" s="154">
        <v>5.0</v>
      </c>
      <c r="E24" s="154">
        <v>18.0</v>
      </c>
      <c r="F24" s="154">
        <v>17.0</v>
      </c>
      <c r="G24" s="154">
        <v>12.0</v>
      </c>
      <c r="H24" s="154">
        <v>4.0</v>
      </c>
      <c r="I24" s="154">
        <v>8.0</v>
      </c>
      <c r="J24" s="154">
        <v>10.0</v>
      </c>
      <c r="K24" s="155">
        <v>0.24</v>
      </c>
      <c r="L24" s="155">
        <v>0.25</v>
      </c>
      <c r="M24" s="155">
        <v>0.24</v>
      </c>
      <c r="N24" s="155">
        <v>0.2</v>
      </c>
      <c r="O24" s="155">
        <v>0.19</v>
      </c>
      <c r="P24" s="155">
        <v>0.14</v>
      </c>
      <c r="Q24" s="155">
        <v>0.15</v>
      </c>
      <c r="R24" s="155">
        <v>0.17</v>
      </c>
      <c r="S24" s="154">
        <v>112.0</v>
      </c>
      <c r="T24" s="154">
        <v>112.0</v>
      </c>
      <c r="U24" s="154">
        <v>85.0</v>
      </c>
      <c r="V24" s="154">
        <v>85.0</v>
      </c>
      <c r="W24" s="154">
        <v>69.0</v>
      </c>
      <c r="X24" s="154">
        <v>69.0</v>
      </c>
      <c r="Y24" s="154">
        <v>59.0</v>
      </c>
      <c r="Z24" s="154">
        <v>120.0</v>
      </c>
    </row>
    <row r="25" ht="22.5" customHeight="1">
      <c r="A25" s="154" t="s">
        <v>1075</v>
      </c>
      <c r="B25" s="154">
        <v>6.0</v>
      </c>
      <c r="C25" s="154">
        <v>33.0</v>
      </c>
      <c r="D25" s="154">
        <v>6.0</v>
      </c>
      <c r="E25" s="154">
        <v>20.0</v>
      </c>
      <c r="F25" s="154">
        <v>19.0</v>
      </c>
      <c r="G25" s="154">
        <v>14.0</v>
      </c>
      <c r="H25" s="154">
        <v>5.0</v>
      </c>
      <c r="I25" s="154">
        <v>10.0</v>
      </c>
      <c r="J25" s="154">
        <v>10.0</v>
      </c>
      <c r="K25" s="155">
        <v>0.24</v>
      </c>
      <c r="L25" s="155">
        <v>0.25</v>
      </c>
      <c r="M25" s="155">
        <v>0.24</v>
      </c>
      <c r="N25" s="155">
        <v>0.2</v>
      </c>
      <c r="O25" s="155">
        <v>0.19</v>
      </c>
      <c r="P25" s="155">
        <v>0.14</v>
      </c>
      <c r="Q25" s="155">
        <v>0.15</v>
      </c>
      <c r="R25" s="155">
        <v>0.17</v>
      </c>
      <c r="S25" s="154">
        <v>112.0</v>
      </c>
      <c r="T25" s="154">
        <v>112.0</v>
      </c>
      <c r="U25" s="154">
        <v>85.0</v>
      </c>
      <c r="V25" s="154">
        <v>85.0</v>
      </c>
      <c r="W25" s="154">
        <v>69.0</v>
      </c>
      <c r="X25" s="154">
        <v>69.0</v>
      </c>
      <c r="Y25" s="154">
        <v>59.0</v>
      </c>
      <c r="Z25" s="154">
        <v>120.0</v>
      </c>
    </row>
    <row r="26" ht="22.5" customHeight="1">
      <c r="A26" s="154" t="s">
        <v>1075</v>
      </c>
      <c r="B26" s="154">
        <v>7.0</v>
      </c>
      <c r="C26" s="154">
        <v>36.0</v>
      </c>
      <c r="D26" s="154">
        <v>7.0</v>
      </c>
      <c r="E26" s="154">
        <v>22.0</v>
      </c>
      <c r="F26" s="154">
        <v>22.0</v>
      </c>
      <c r="G26" s="154">
        <v>16.0</v>
      </c>
      <c r="H26" s="154">
        <v>5.0</v>
      </c>
      <c r="I26" s="154">
        <v>11.0</v>
      </c>
      <c r="J26" s="154">
        <v>10.0</v>
      </c>
      <c r="K26" s="155">
        <v>0.24</v>
      </c>
      <c r="L26" s="155">
        <v>0.25</v>
      </c>
      <c r="M26" s="155">
        <v>0.24</v>
      </c>
      <c r="N26" s="155">
        <v>0.2</v>
      </c>
      <c r="O26" s="155">
        <v>0.19</v>
      </c>
      <c r="P26" s="155">
        <v>0.14</v>
      </c>
      <c r="Q26" s="155">
        <v>0.15</v>
      </c>
      <c r="R26" s="155">
        <v>0.17</v>
      </c>
      <c r="S26" s="154">
        <v>112.0</v>
      </c>
      <c r="T26" s="154">
        <v>112.0</v>
      </c>
      <c r="U26" s="154">
        <v>85.0</v>
      </c>
      <c r="V26" s="154">
        <v>85.0</v>
      </c>
      <c r="W26" s="154">
        <v>69.0</v>
      </c>
      <c r="X26" s="154">
        <v>69.0</v>
      </c>
      <c r="Y26" s="154">
        <v>59.0</v>
      </c>
      <c r="Z26" s="154">
        <v>120.0</v>
      </c>
    </row>
    <row r="27" ht="22.5" customHeight="1">
      <c r="A27" s="154" t="s">
        <v>1075</v>
      </c>
      <c r="B27" s="154">
        <v>8.0</v>
      </c>
      <c r="C27" s="154">
        <v>40.0</v>
      </c>
      <c r="D27" s="154">
        <v>7.0</v>
      </c>
      <c r="E27" s="154">
        <v>24.0</v>
      </c>
      <c r="F27" s="154">
        <v>24.0</v>
      </c>
      <c r="G27" s="154">
        <v>17.0</v>
      </c>
      <c r="H27" s="154">
        <v>6.0</v>
      </c>
      <c r="I27" s="154">
        <v>12.0</v>
      </c>
      <c r="J27" s="154">
        <v>10.0</v>
      </c>
      <c r="K27" s="155">
        <v>0.24</v>
      </c>
      <c r="L27" s="155">
        <v>0.25</v>
      </c>
      <c r="M27" s="155">
        <v>0.24</v>
      </c>
      <c r="N27" s="155">
        <v>0.2</v>
      </c>
      <c r="O27" s="155">
        <v>0.19</v>
      </c>
      <c r="P27" s="155">
        <v>0.14</v>
      </c>
      <c r="Q27" s="155">
        <v>0.15</v>
      </c>
      <c r="R27" s="155">
        <v>0.17</v>
      </c>
      <c r="S27" s="154">
        <v>112.0</v>
      </c>
      <c r="T27" s="154">
        <v>112.0</v>
      </c>
      <c r="U27" s="154">
        <v>85.0</v>
      </c>
      <c r="V27" s="154">
        <v>85.0</v>
      </c>
      <c r="W27" s="154">
        <v>69.0</v>
      </c>
      <c r="X27" s="154">
        <v>69.0</v>
      </c>
      <c r="Y27" s="154">
        <v>59.0</v>
      </c>
      <c r="Z27" s="154">
        <v>120.0</v>
      </c>
    </row>
    <row r="28" ht="22.5" customHeight="1">
      <c r="A28" s="154" t="s">
        <v>1075</v>
      </c>
      <c r="B28" s="156">
        <v>9.0</v>
      </c>
      <c r="C28" s="154">
        <v>43.0</v>
      </c>
      <c r="D28" s="154">
        <v>8.0</v>
      </c>
      <c r="E28" s="154">
        <v>26.0</v>
      </c>
      <c r="F28" s="154">
        <v>26.0</v>
      </c>
      <c r="G28" s="154">
        <v>19.0</v>
      </c>
      <c r="H28" s="154">
        <v>6.0</v>
      </c>
      <c r="I28" s="154">
        <v>14.0</v>
      </c>
      <c r="J28" s="154">
        <v>10.0</v>
      </c>
      <c r="K28" s="155">
        <v>0.24</v>
      </c>
      <c r="L28" s="155">
        <v>0.25</v>
      </c>
      <c r="M28" s="155">
        <v>0.24</v>
      </c>
      <c r="N28" s="155">
        <v>0.2</v>
      </c>
      <c r="O28" s="155">
        <v>0.19</v>
      </c>
      <c r="P28" s="155">
        <v>0.14</v>
      </c>
      <c r="Q28" s="155">
        <v>0.15</v>
      </c>
      <c r="R28" s="155">
        <v>0.17</v>
      </c>
      <c r="S28" s="154">
        <v>112.0</v>
      </c>
      <c r="T28" s="154">
        <v>112.0</v>
      </c>
      <c r="U28" s="154">
        <v>85.0</v>
      </c>
      <c r="V28" s="154">
        <v>85.0</v>
      </c>
      <c r="W28" s="154">
        <v>69.0</v>
      </c>
      <c r="X28" s="154">
        <v>69.0</v>
      </c>
      <c r="Y28" s="154">
        <v>59.0</v>
      </c>
      <c r="Z28" s="154">
        <v>120.0</v>
      </c>
    </row>
    <row r="29" ht="22.5" customHeight="1">
      <c r="A29" s="154" t="s">
        <v>1075</v>
      </c>
      <c r="B29" s="156">
        <v>10.0</v>
      </c>
      <c r="C29" s="154">
        <v>47.0</v>
      </c>
      <c r="D29" s="154">
        <v>9.0</v>
      </c>
      <c r="E29" s="154">
        <v>28.0</v>
      </c>
      <c r="F29" s="154">
        <v>29.0</v>
      </c>
      <c r="G29" s="154">
        <v>20.0</v>
      </c>
      <c r="H29" s="154">
        <v>7.0</v>
      </c>
      <c r="I29" s="154">
        <v>15.0</v>
      </c>
      <c r="J29" s="154">
        <v>10.0</v>
      </c>
      <c r="K29" s="155">
        <v>0.24</v>
      </c>
      <c r="L29" s="155">
        <v>0.25</v>
      </c>
      <c r="M29" s="155">
        <v>0.24</v>
      </c>
      <c r="N29" s="155">
        <v>0.2</v>
      </c>
      <c r="O29" s="155">
        <v>0.19</v>
      </c>
      <c r="P29" s="155">
        <v>0.14</v>
      </c>
      <c r="Q29" s="155">
        <v>0.15</v>
      </c>
      <c r="R29" s="155">
        <v>0.17</v>
      </c>
      <c r="S29" s="154">
        <v>112.0</v>
      </c>
      <c r="T29" s="154">
        <v>112.0</v>
      </c>
      <c r="U29" s="154">
        <v>85.0</v>
      </c>
      <c r="V29" s="154">
        <v>85.0</v>
      </c>
      <c r="W29" s="154">
        <v>69.0</v>
      </c>
      <c r="X29" s="154">
        <v>69.0</v>
      </c>
      <c r="Y29" s="154">
        <v>59.0</v>
      </c>
      <c r="Z29" s="154">
        <v>120.0</v>
      </c>
    </row>
    <row r="30" ht="22.5" customHeight="1">
      <c r="A30" s="154" t="s">
        <v>1075</v>
      </c>
      <c r="B30" s="154">
        <v>11.0</v>
      </c>
      <c r="C30" s="154">
        <v>50.0</v>
      </c>
      <c r="D30" s="154">
        <v>10.0</v>
      </c>
      <c r="E30" s="154">
        <v>30.0</v>
      </c>
      <c r="F30" s="154">
        <v>31.0</v>
      </c>
      <c r="G30" s="154">
        <v>22.0</v>
      </c>
      <c r="H30" s="154">
        <v>7.0</v>
      </c>
      <c r="I30" s="154">
        <v>16.0</v>
      </c>
      <c r="J30" s="154">
        <v>10.0</v>
      </c>
      <c r="K30" s="155">
        <v>0.24</v>
      </c>
      <c r="L30" s="155">
        <v>0.25</v>
      </c>
      <c r="M30" s="155">
        <v>0.24</v>
      </c>
      <c r="N30" s="155">
        <v>0.2</v>
      </c>
      <c r="O30" s="155">
        <v>0.19</v>
      </c>
      <c r="P30" s="155">
        <v>0.14</v>
      </c>
      <c r="Q30" s="155">
        <v>0.15</v>
      </c>
      <c r="R30" s="155">
        <v>0.17</v>
      </c>
      <c r="S30" s="154">
        <v>112.0</v>
      </c>
      <c r="T30" s="154">
        <v>112.0</v>
      </c>
      <c r="U30" s="154">
        <v>85.0</v>
      </c>
      <c r="V30" s="154">
        <v>85.0</v>
      </c>
      <c r="W30" s="154">
        <v>69.0</v>
      </c>
      <c r="X30" s="154">
        <v>69.0</v>
      </c>
      <c r="Y30" s="154">
        <v>59.0</v>
      </c>
      <c r="Z30" s="154">
        <v>120.0</v>
      </c>
    </row>
    <row r="31" ht="22.5" customHeight="1">
      <c r="A31" s="154" t="s">
        <v>1075</v>
      </c>
      <c r="B31" s="154">
        <v>12.0</v>
      </c>
      <c r="C31" s="154">
        <v>54.0</v>
      </c>
      <c r="D31" s="154">
        <v>11.0</v>
      </c>
      <c r="E31" s="154">
        <v>33.0</v>
      </c>
      <c r="F31" s="154">
        <v>34.0</v>
      </c>
      <c r="G31" s="154">
        <v>24.0</v>
      </c>
      <c r="H31" s="154">
        <v>8.0</v>
      </c>
      <c r="I31" s="154">
        <v>18.0</v>
      </c>
      <c r="J31" s="154">
        <v>10.0</v>
      </c>
      <c r="K31" s="155">
        <v>0.24</v>
      </c>
      <c r="L31" s="155">
        <v>0.25</v>
      </c>
      <c r="M31" s="155">
        <v>0.24</v>
      </c>
      <c r="N31" s="155">
        <v>0.2</v>
      </c>
      <c r="O31" s="155">
        <v>0.19</v>
      </c>
      <c r="P31" s="155">
        <v>0.14</v>
      </c>
      <c r="Q31" s="155">
        <v>0.15</v>
      </c>
      <c r="R31" s="155">
        <v>0.17</v>
      </c>
      <c r="S31" s="154">
        <v>112.0</v>
      </c>
      <c r="T31" s="154">
        <v>112.0</v>
      </c>
      <c r="U31" s="154">
        <v>85.0</v>
      </c>
      <c r="V31" s="154">
        <v>85.0</v>
      </c>
      <c r="W31" s="154">
        <v>69.0</v>
      </c>
      <c r="X31" s="154">
        <v>69.0</v>
      </c>
      <c r="Y31" s="154">
        <v>59.0</v>
      </c>
      <c r="Z31" s="154">
        <v>120.0</v>
      </c>
    </row>
    <row r="32" ht="22.5" customHeight="1">
      <c r="A32" s="154" t="s">
        <v>1075</v>
      </c>
      <c r="B32" s="154">
        <v>13.0</v>
      </c>
      <c r="C32" s="154">
        <v>56.0</v>
      </c>
      <c r="D32" s="154">
        <v>12.0</v>
      </c>
      <c r="E32" s="154">
        <v>34.0</v>
      </c>
      <c r="F32" s="154">
        <v>35.0</v>
      </c>
      <c r="G32" s="154">
        <v>25.0</v>
      </c>
      <c r="H32" s="154">
        <v>8.0</v>
      </c>
      <c r="I32" s="154">
        <v>19.0</v>
      </c>
      <c r="J32" s="154">
        <v>10.0</v>
      </c>
      <c r="K32" s="155">
        <v>0.24</v>
      </c>
      <c r="L32" s="155">
        <v>0.25</v>
      </c>
      <c r="M32" s="155">
        <v>0.24</v>
      </c>
      <c r="N32" s="155">
        <v>0.2</v>
      </c>
      <c r="O32" s="155">
        <v>0.19</v>
      </c>
      <c r="P32" s="155">
        <v>0.14</v>
      </c>
      <c r="Q32" s="155">
        <v>0.15</v>
      </c>
      <c r="R32" s="155">
        <v>0.17</v>
      </c>
      <c r="S32" s="154">
        <v>112.0</v>
      </c>
      <c r="T32" s="154">
        <v>112.0</v>
      </c>
      <c r="U32" s="154">
        <v>85.0</v>
      </c>
      <c r="V32" s="154">
        <v>85.0</v>
      </c>
      <c r="W32" s="154">
        <v>69.0</v>
      </c>
      <c r="X32" s="154">
        <v>69.0</v>
      </c>
      <c r="Y32" s="154">
        <v>59.0</v>
      </c>
      <c r="Z32" s="154">
        <v>120.0</v>
      </c>
    </row>
    <row r="33" ht="22.5" customHeight="1">
      <c r="A33" s="154" t="s">
        <v>1075</v>
      </c>
      <c r="B33" s="154">
        <v>14.0</v>
      </c>
      <c r="C33" s="154">
        <v>58.0</v>
      </c>
      <c r="D33" s="154">
        <v>13.0</v>
      </c>
      <c r="E33" s="154">
        <v>36.0</v>
      </c>
      <c r="F33" s="154">
        <v>37.0</v>
      </c>
      <c r="G33" s="154">
        <v>27.0</v>
      </c>
      <c r="H33" s="154">
        <v>9.0</v>
      </c>
      <c r="I33" s="154">
        <v>20.0</v>
      </c>
      <c r="J33" s="154">
        <v>10.0</v>
      </c>
      <c r="K33" s="155">
        <v>0.24</v>
      </c>
      <c r="L33" s="155">
        <v>0.25</v>
      </c>
      <c r="M33" s="155">
        <v>0.24</v>
      </c>
      <c r="N33" s="155">
        <v>0.2</v>
      </c>
      <c r="O33" s="155">
        <v>0.19</v>
      </c>
      <c r="P33" s="155">
        <v>0.14</v>
      </c>
      <c r="Q33" s="155">
        <v>0.15</v>
      </c>
      <c r="R33" s="155">
        <v>0.17</v>
      </c>
      <c r="S33" s="154">
        <v>112.0</v>
      </c>
      <c r="T33" s="154">
        <v>112.0</v>
      </c>
      <c r="U33" s="154">
        <v>85.0</v>
      </c>
      <c r="V33" s="154">
        <v>85.0</v>
      </c>
      <c r="W33" s="154">
        <v>69.0</v>
      </c>
      <c r="X33" s="154">
        <v>69.0</v>
      </c>
      <c r="Y33" s="154">
        <v>59.0</v>
      </c>
      <c r="Z33" s="154">
        <v>120.0</v>
      </c>
    </row>
    <row r="34" ht="22.5" customHeight="1">
      <c r="A34" s="154" t="s">
        <v>1075</v>
      </c>
      <c r="B34" s="154">
        <v>15.0</v>
      </c>
      <c r="C34" s="154">
        <v>60.0</v>
      </c>
      <c r="D34" s="154">
        <v>14.0</v>
      </c>
      <c r="E34" s="154">
        <v>38.0</v>
      </c>
      <c r="F34" s="154">
        <v>39.0</v>
      </c>
      <c r="G34" s="154">
        <v>29.0</v>
      </c>
      <c r="H34" s="154">
        <v>10.0</v>
      </c>
      <c r="I34" s="154">
        <v>21.0</v>
      </c>
      <c r="J34" s="154">
        <v>10.0</v>
      </c>
      <c r="K34" s="155">
        <v>0.24</v>
      </c>
      <c r="L34" s="155">
        <v>0.25</v>
      </c>
      <c r="M34" s="155">
        <v>0.24</v>
      </c>
      <c r="N34" s="155">
        <v>0.2</v>
      </c>
      <c r="O34" s="155">
        <v>0.19</v>
      </c>
      <c r="P34" s="155">
        <v>0.14</v>
      </c>
      <c r="Q34" s="155">
        <v>0.15</v>
      </c>
      <c r="R34" s="155">
        <v>0.17</v>
      </c>
      <c r="S34" s="154">
        <v>112.0</v>
      </c>
      <c r="T34" s="154">
        <v>112.0</v>
      </c>
      <c r="U34" s="154">
        <v>85.0</v>
      </c>
      <c r="V34" s="154">
        <v>85.0</v>
      </c>
      <c r="W34" s="154">
        <v>69.0</v>
      </c>
      <c r="X34" s="154">
        <v>69.0</v>
      </c>
      <c r="Y34" s="154">
        <v>59.0</v>
      </c>
      <c r="Z34" s="154">
        <v>120.0</v>
      </c>
    </row>
    <row r="35" ht="22.5" customHeight="1">
      <c r="A35" s="153" t="s">
        <v>1081</v>
      </c>
      <c r="B35" s="156">
        <v>10.0</v>
      </c>
      <c r="C35" s="153">
        <v>34.0</v>
      </c>
      <c r="D35" s="153">
        <v>7.0</v>
      </c>
      <c r="E35" s="153">
        <v>20.0</v>
      </c>
      <c r="F35" s="153">
        <v>19.0</v>
      </c>
      <c r="G35" s="153">
        <v>52.0</v>
      </c>
      <c r="H35" s="153">
        <v>6.0</v>
      </c>
      <c r="I35" s="153">
        <v>4.0</v>
      </c>
      <c r="J35" s="153">
        <v>28.0</v>
      </c>
      <c r="K35" s="155">
        <v>0.24</v>
      </c>
      <c r="L35" s="155">
        <v>0.25</v>
      </c>
      <c r="M35" s="155">
        <v>0.24</v>
      </c>
      <c r="N35" s="155">
        <v>0.25</v>
      </c>
      <c r="O35" s="155">
        <v>0.14</v>
      </c>
      <c r="P35" s="155">
        <v>0.19</v>
      </c>
      <c r="Q35" s="155">
        <v>0.15</v>
      </c>
      <c r="R35" s="155">
        <v>0.22</v>
      </c>
      <c r="S35" s="154">
        <v>92.0</v>
      </c>
      <c r="T35" s="154">
        <v>92.0</v>
      </c>
      <c r="U35" s="154">
        <v>105.0</v>
      </c>
      <c r="V35" s="154">
        <v>105.0</v>
      </c>
      <c r="W35" s="154">
        <v>49.0</v>
      </c>
      <c r="X35" s="154">
        <v>49.0</v>
      </c>
      <c r="Y35" s="154">
        <v>69.0</v>
      </c>
      <c r="Z35" s="154">
        <v>40.0</v>
      </c>
    </row>
    <row r="36" ht="22.5" customHeight="1">
      <c r="A36" s="154" t="s">
        <v>1076</v>
      </c>
      <c r="B36" s="154">
        <v>1.0</v>
      </c>
      <c r="C36" s="154">
        <v>6.0</v>
      </c>
      <c r="D36" s="154">
        <v>2.0</v>
      </c>
      <c r="E36" s="154">
        <v>4.0</v>
      </c>
      <c r="F36" s="154">
        <v>4.0</v>
      </c>
      <c r="G36" s="154">
        <v>8.0</v>
      </c>
      <c r="H36" s="154">
        <v>2.0</v>
      </c>
      <c r="I36" s="154">
        <v>2.0</v>
      </c>
      <c r="J36" s="154">
        <v>13.0</v>
      </c>
      <c r="K36" s="155">
        <v>0.19</v>
      </c>
      <c r="L36" s="155">
        <v>0.15</v>
      </c>
      <c r="M36" s="155">
        <v>0.14</v>
      </c>
      <c r="N36" s="155">
        <v>0.15</v>
      </c>
      <c r="O36" s="155">
        <v>0.19</v>
      </c>
      <c r="P36" s="155">
        <v>0.14</v>
      </c>
      <c r="Q36" s="155">
        <v>0.2</v>
      </c>
      <c r="R36" s="155">
        <v>0.17</v>
      </c>
      <c r="S36" s="154">
        <v>112.0</v>
      </c>
      <c r="T36" s="154">
        <v>112.0</v>
      </c>
      <c r="U36" s="154">
        <v>85.0</v>
      </c>
      <c r="V36" s="154">
        <v>85.0</v>
      </c>
      <c r="W36" s="154">
        <v>69.0</v>
      </c>
      <c r="X36" s="154">
        <v>69.0</v>
      </c>
      <c r="Y36" s="154">
        <v>59.0</v>
      </c>
      <c r="Z36" s="154">
        <v>40.0</v>
      </c>
    </row>
    <row r="37" ht="22.5" customHeight="1">
      <c r="A37" s="154" t="s">
        <v>1076</v>
      </c>
      <c r="B37" s="154">
        <v>2.0</v>
      </c>
      <c r="C37" s="154">
        <v>12.0</v>
      </c>
      <c r="D37" s="154">
        <v>3.0</v>
      </c>
      <c r="E37" s="154">
        <v>7.0</v>
      </c>
      <c r="F37" s="154">
        <v>7.0</v>
      </c>
      <c r="G37" s="154">
        <v>20.0</v>
      </c>
      <c r="H37" s="154">
        <v>3.0</v>
      </c>
      <c r="I37" s="154">
        <v>3.0</v>
      </c>
      <c r="J37" s="154">
        <v>13.0</v>
      </c>
      <c r="K37" s="155">
        <v>0.19</v>
      </c>
      <c r="L37" s="155">
        <v>0.15</v>
      </c>
      <c r="M37" s="155">
        <v>0.14</v>
      </c>
      <c r="N37" s="155">
        <v>0.15</v>
      </c>
      <c r="O37" s="155">
        <v>0.19</v>
      </c>
      <c r="P37" s="155">
        <v>0.14</v>
      </c>
      <c r="Q37" s="155">
        <v>0.2</v>
      </c>
      <c r="R37" s="155">
        <v>0.17</v>
      </c>
      <c r="S37" s="154">
        <v>112.0</v>
      </c>
      <c r="T37" s="154">
        <v>112.0</v>
      </c>
      <c r="U37" s="154">
        <v>85.0</v>
      </c>
      <c r="V37" s="154">
        <v>85.0</v>
      </c>
      <c r="W37" s="154">
        <v>69.0</v>
      </c>
      <c r="X37" s="154">
        <v>69.0</v>
      </c>
      <c r="Y37" s="154">
        <v>59.0</v>
      </c>
      <c r="Z37" s="154">
        <v>40.0</v>
      </c>
    </row>
    <row r="38" ht="22.5" customHeight="1">
      <c r="A38" s="154" t="s">
        <v>1076</v>
      </c>
      <c r="B38" s="154">
        <v>3.0</v>
      </c>
      <c r="C38" s="154">
        <v>14.0</v>
      </c>
      <c r="D38" s="154">
        <v>3.0</v>
      </c>
      <c r="E38" s="154">
        <v>8.0</v>
      </c>
      <c r="F38" s="154">
        <v>8.0</v>
      </c>
      <c r="G38" s="154">
        <v>23.0</v>
      </c>
      <c r="H38" s="154">
        <v>3.0</v>
      </c>
      <c r="I38" s="154">
        <v>3.0</v>
      </c>
      <c r="J38" s="154">
        <v>13.0</v>
      </c>
      <c r="K38" s="155">
        <v>0.19</v>
      </c>
      <c r="L38" s="155">
        <v>0.15</v>
      </c>
      <c r="M38" s="155">
        <v>0.14</v>
      </c>
      <c r="N38" s="155">
        <v>0.15</v>
      </c>
      <c r="O38" s="155">
        <v>0.19</v>
      </c>
      <c r="P38" s="155">
        <v>0.14</v>
      </c>
      <c r="Q38" s="155">
        <v>0.2</v>
      </c>
      <c r="R38" s="155">
        <v>0.17</v>
      </c>
      <c r="S38" s="154">
        <v>112.0</v>
      </c>
      <c r="T38" s="154">
        <v>112.0</v>
      </c>
      <c r="U38" s="154">
        <v>85.0</v>
      </c>
      <c r="V38" s="154">
        <v>85.0</v>
      </c>
      <c r="W38" s="154">
        <v>69.0</v>
      </c>
      <c r="X38" s="154">
        <v>69.0</v>
      </c>
      <c r="Y38" s="154">
        <v>59.0</v>
      </c>
      <c r="Z38" s="154">
        <v>40.0</v>
      </c>
    </row>
    <row r="39" ht="22.5" customHeight="1">
      <c r="A39" s="154" t="s">
        <v>1076</v>
      </c>
      <c r="B39" s="154">
        <v>4.0</v>
      </c>
      <c r="C39" s="154">
        <v>16.0</v>
      </c>
      <c r="D39" s="154">
        <v>4.0</v>
      </c>
      <c r="E39" s="154">
        <v>10.0</v>
      </c>
      <c r="F39" s="154">
        <v>9.0</v>
      </c>
      <c r="G39" s="154">
        <v>26.0</v>
      </c>
      <c r="H39" s="154">
        <v>3.0</v>
      </c>
      <c r="I39" s="154">
        <v>4.0</v>
      </c>
      <c r="J39" s="154">
        <v>13.0</v>
      </c>
      <c r="K39" s="155">
        <v>0.19</v>
      </c>
      <c r="L39" s="155">
        <v>0.15</v>
      </c>
      <c r="M39" s="155">
        <v>0.14</v>
      </c>
      <c r="N39" s="155">
        <v>0.15</v>
      </c>
      <c r="O39" s="155">
        <v>0.19</v>
      </c>
      <c r="P39" s="155">
        <v>0.14</v>
      </c>
      <c r="Q39" s="155">
        <v>0.2</v>
      </c>
      <c r="R39" s="155">
        <v>0.17</v>
      </c>
      <c r="S39" s="154">
        <v>112.0</v>
      </c>
      <c r="T39" s="154">
        <v>112.0</v>
      </c>
      <c r="U39" s="154">
        <v>85.0</v>
      </c>
      <c r="V39" s="154">
        <v>85.0</v>
      </c>
      <c r="W39" s="154">
        <v>69.0</v>
      </c>
      <c r="X39" s="154">
        <v>69.0</v>
      </c>
      <c r="Y39" s="154">
        <v>59.0</v>
      </c>
      <c r="Z39" s="154">
        <v>40.0</v>
      </c>
    </row>
    <row r="40" ht="22.5" customHeight="1">
      <c r="A40" s="154" t="s">
        <v>1076</v>
      </c>
      <c r="B40" s="154">
        <v>5.0</v>
      </c>
      <c r="C40" s="154">
        <v>18.0</v>
      </c>
      <c r="D40" s="154">
        <v>5.0</v>
      </c>
      <c r="E40" s="154">
        <v>12.0</v>
      </c>
      <c r="F40" s="154">
        <v>10.0</v>
      </c>
      <c r="G40" s="154">
        <v>29.0</v>
      </c>
      <c r="H40" s="154">
        <v>3.0</v>
      </c>
      <c r="I40" s="154">
        <v>5.0</v>
      </c>
      <c r="J40" s="154">
        <v>13.0</v>
      </c>
      <c r="K40" s="155">
        <v>0.19</v>
      </c>
      <c r="L40" s="155">
        <v>0.15</v>
      </c>
      <c r="M40" s="155">
        <v>0.14</v>
      </c>
      <c r="N40" s="155">
        <v>0.15</v>
      </c>
      <c r="O40" s="155">
        <v>0.19</v>
      </c>
      <c r="P40" s="155">
        <v>0.14</v>
      </c>
      <c r="Q40" s="155">
        <v>0.2</v>
      </c>
      <c r="R40" s="155">
        <v>0.17</v>
      </c>
      <c r="S40" s="154">
        <v>112.0</v>
      </c>
      <c r="T40" s="154">
        <v>112.0</v>
      </c>
      <c r="U40" s="154">
        <v>85.0</v>
      </c>
      <c r="V40" s="154">
        <v>85.0</v>
      </c>
      <c r="W40" s="154">
        <v>69.0</v>
      </c>
      <c r="X40" s="154">
        <v>69.0</v>
      </c>
      <c r="Y40" s="154">
        <v>59.0</v>
      </c>
      <c r="Z40" s="154">
        <v>40.0</v>
      </c>
    </row>
    <row r="41" ht="22.5" customHeight="1">
      <c r="A41" s="154" t="s">
        <v>1076</v>
      </c>
      <c r="B41" s="154">
        <v>6.0</v>
      </c>
      <c r="C41" s="154">
        <v>20.0</v>
      </c>
      <c r="D41" s="154">
        <v>6.0</v>
      </c>
      <c r="E41" s="154">
        <v>14.0</v>
      </c>
      <c r="F41" s="154">
        <v>11.0</v>
      </c>
      <c r="G41" s="154">
        <v>32.0</v>
      </c>
      <c r="H41" s="154">
        <v>4.0</v>
      </c>
      <c r="I41" s="154">
        <v>5.0</v>
      </c>
      <c r="J41" s="154">
        <v>13.0</v>
      </c>
      <c r="K41" s="155">
        <v>0.19</v>
      </c>
      <c r="L41" s="155">
        <v>0.15</v>
      </c>
      <c r="M41" s="155">
        <v>0.14</v>
      </c>
      <c r="N41" s="155">
        <v>0.15</v>
      </c>
      <c r="O41" s="155">
        <v>0.19</v>
      </c>
      <c r="P41" s="155">
        <v>0.14</v>
      </c>
      <c r="Q41" s="155">
        <v>0.2</v>
      </c>
      <c r="R41" s="155">
        <v>0.17</v>
      </c>
      <c r="S41" s="154">
        <v>112.0</v>
      </c>
      <c r="T41" s="154">
        <v>112.0</v>
      </c>
      <c r="U41" s="154">
        <v>85.0</v>
      </c>
      <c r="V41" s="154">
        <v>85.0</v>
      </c>
      <c r="W41" s="154">
        <v>69.0</v>
      </c>
      <c r="X41" s="154">
        <v>69.0</v>
      </c>
      <c r="Y41" s="154">
        <v>59.0</v>
      </c>
      <c r="Z41" s="154">
        <v>40.0</v>
      </c>
    </row>
    <row r="42" ht="22.5" customHeight="1">
      <c r="A42" s="154" t="s">
        <v>1076</v>
      </c>
      <c r="B42" s="154">
        <v>7.0</v>
      </c>
      <c r="C42" s="154">
        <v>23.0</v>
      </c>
      <c r="D42" s="154">
        <v>7.0</v>
      </c>
      <c r="E42" s="154">
        <v>16.0</v>
      </c>
      <c r="F42" s="154">
        <v>12.0</v>
      </c>
      <c r="G42" s="154">
        <v>35.0</v>
      </c>
      <c r="H42" s="154">
        <v>4.0</v>
      </c>
      <c r="I42" s="154">
        <v>6.0</v>
      </c>
      <c r="J42" s="154">
        <v>13.0</v>
      </c>
      <c r="K42" s="155">
        <v>0.19</v>
      </c>
      <c r="L42" s="155">
        <v>0.15</v>
      </c>
      <c r="M42" s="155">
        <v>0.14</v>
      </c>
      <c r="N42" s="155">
        <v>0.15</v>
      </c>
      <c r="O42" s="155">
        <v>0.19</v>
      </c>
      <c r="P42" s="155">
        <v>0.14</v>
      </c>
      <c r="Q42" s="155">
        <v>0.2</v>
      </c>
      <c r="R42" s="155">
        <v>0.17</v>
      </c>
      <c r="S42" s="154">
        <v>112.0</v>
      </c>
      <c r="T42" s="154">
        <v>112.0</v>
      </c>
      <c r="U42" s="154">
        <v>85.0</v>
      </c>
      <c r="V42" s="154">
        <v>85.0</v>
      </c>
      <c r="W42" s="154">
        <v>69.0</v>
      </c>
      <c r="X42" s="154">
        <v>69.0</v>
      </c>
      <c r="Y42" s="154">
        <v>59.0</v>
      </c>
      <c r="Z42" s="154">
        <v>40.0</v>
      </c>
    </row>
    <row r="43" ht="22.5" customHeight="1">
      <c r="A43" s="154" t="s">
        <v>1076</v>
      </c>
      <c r="B43" s="154">
        <v>8.0</v>
      </c>
      <c r="C43" s="154">
        <v>25.0</v>
      </c>
      <c r="D43" s="154">
        <v>7.0</v>
      </c>
      <c r="E43" s="154">
        <v>17.0</v>
      </c>
      <c r="F43" s="154">
        <v>13.0</v>
      </c>
      <c r="G43" s="154">
        <v>38.0</v>
      </c>
      <c r="H43" s="154">
        <v>4.0</v>
      </c>
      <c r="I43" s="154">
        <v>7.0</v>
      </c>
      <c r="J43" s="154">
        <v>13.0</v>
      </c>
      <c r="K43" s="155">
        <v>0.19</v>
      </c>
      <c r="L43" s="155">
        <v>0.15</v>
      </c>
      <c r="M43" s="155">
        <v>0.14</v>
      </c>
      <c r="N43" s="155">
        <v>0.15</v>
      </c>
      <c r="O43" s="155">
        <v>0.19</v>
      </c>
      <c r="P43" s="155">
        <v>0.14</v>
      </c>
      <c r="Q43" s="155">
        <v>0.2</v>
      </c>
      <c r="R43" s="155">
        <v>0.17</v>
      </c>
      <c r="S43" s="154">
        <v>112.0</v>
      </c>
      <c r="T43" s="154">
        <v>112.0</v>
      </c>
      <c r="U43" s="154">
        <v>85.0</v>
      </c>
      <c r="V43" s="154">
        <v>85.0</v>
      </c>
      <c r="W43" s="154">
        <v>69.0</v>
      </c>
      <c r="X43" s="154">
        <v>69.0</v>
      </c>
      <c r="Y43" s="154">
        <v>59.0</v>
      </c>
      <c r="Z43" s="154">
        <v>40.0</v>
      </c>
    </row>
    <row r="44" ht="22.5" customHeight="1">
      <c r="A44" s="154" t="s">
        <v>1076</v>
      </c>
      <c r="B44" s="156">
        <v>9.0</v>
      </c>
      <c r="C44" s="154">
        <v>27.0</v>
      </c>
      <c r="D44" s="154">
        <v>8.0</v>
      </c>
      <c r="E44" s="154">
        <v>19.0</v>
      </c>
      <c r="F44" s="154">
        <v>14.0</v>
      </c>
      <c r="G44" s="154">
        <v>41.0</v>
      </c>
      <c r="H44" s="154">
        <v>5.0</v>
      </c>
      <c r="I44" s="154">
        <v>7.0</v>
      </c>
      <c r="J44" s="154">
        <v>13.0</v>
      </c>
      <c r="K44" s="155">
        <v>0.19</v>
      </c>
      <c r="L44" s="155">
        <v>0.15</v>
      </c>
      <c r="M44" s="155">
        <v>0.14</v>
      </c>
      <c r="N44" s="155">
        <v>0.15</v>
      </c>
      <c r="O44" s="155">
        <v>0.19</v>
      </c>
      <c r="P44" s="155">
        <v>0.14</v>
      </c>
      <c r="Q44" s="155">
        <v>0.2</v>
      </c>
      <c r="R44" s="155">
        <v>0.17</v>
      </c>
      <c r="S44" s="154">
        <v>112.0</v>
      </c>
      <c r="T44" s="154">
        <v>112.0</v>
      </c>
      <c r="U44" s="154">
        <v>85.0</v>
      </c>
      <c r="V44" s="154">
        <v>85.0</v>
      </c>
      <c r="W44" s="154">
        <v>69.0</v>
      </c>
      <c r="X44" s="154">
        <v>69.0</v>
      </c>
      <c r="Y44" s="154">
        <v>59.0</v>
      </c>
      <c r="Z44" s="154">
        <v>40.0</v>
      </c>
    </row>
    <row r="45" ht="22.5" customHeight="1">
      <c r="A45" s="154" t="s">
        <v>1076</v>
      </c>
      <c r="B45" s="156">
        <v>10.0</v>
      </c>
      <c r="C45" s="154">
        <v>29.0</v>
      </c>
      <c r="D45" s="154">
        <v>9.0</v>
      </c>
      <c r="E45" s="154">
        <v>21.0</v>
      </c>
      <c r="F45" s="154">
        <v>15.0</v>
      </c>
      <c r="G45" s="154">
        <v>44.0</v>
      </c>
      <c r="H45" s="154">
        <v>5.0</v>
      </c>
      <c r="I45" s="154">
        <v>8.0</v>
      </c>
      <c r="J45" s="154">
        <v>13.0</v>
      </c>
      <c r="K45" s="155">
        <v>0.19</v>
      </c>
      <c r="L45" s="155">
        <v>0.15</v>
      </c>
      <c r="M45" s="155">
        <v>0.14</v>
      </c>
      <c r="N45" s="155">
        <v>0.15</v>
      </c>
      <c r="O45" s="155">
        <v>0.19</v>
      </c>
      <c r="P45" s="155">
        <v>0.14</v>
      </c>
      <c r="Q45" s="155">
        <v>0.2</v>
      </c>
      <c r="R45" s="155">
        <v>0.17</v>
      </c>
      <c r="S45" s="154">
        <v>112.0</v>
      </c>
      <c r="T45" s="154">
        <v>112.0</v>
      </c>
      <c r="U45" s="154">
        <v>85.0</v>
      </c>
      <c r="V45" s="154">
        <v>85.0</v>
      </c>
      <c r="W45" s="154">
        <v>69.0</v>
      </c>
      <c r="X45" s="154">
        <v>69.0</v>
      </c>
      <c r="Y45" s="154">
        <v>59.0</v>
      </c>
      <c r="Z45" s="154">
        <v>40.0</v>
      </c>
    </row>
    <row r="46" ht="22.5" customHeight="1">
      <c r="A46" s="154" t="s">
        <v>1076</v>
      </c>
      <c r="B46" s="154">
        <v>11.0</v>
      </c>
      <c r="C46" s="154">
        <v>31.0</v>
      </c>
      <c r="D46" s="154">
        <v>10.0</v>
      </c>
      <c r="E46" s="154">
        <v>23.0</v>
      </c>
      <c r="F46" s="154">
        <v>16.0</v>
      </c>
      <c r="G46" s="154">
        <v>47.0</v>
      </c>
      <c r="H46" s="154">
        <v>5.0</v>
      </c>
      <c r="I46" s="154">
        <v>9.0</v>
      </c>
      <c r="J46" s="154">
        <v>13.0</v>
      </c>
      <c r="K46" s="155">
        <v>0.19</v>
      </c>
      <c r="L46" s="155">
        <v>0.15</v>
      </c>
      <c r="M46" s="155">
        <v>0.14</v>
      </c>
      <c r="N46" s="155">
        <v>0.15</v>
      </c>
      <c r="O46" s="155">
        <v>0.19</v>
      </c>
      <c r="P46" s="155">
        <v>0.14</v>
      </c>
      <c r="Q46" s="155">
        <v>0.2</v>
      </c>
      <c r="R46" s="155">
        <v>0.17</v>
      </c>
      <c r="S46" s="154">
        <v>112.0</v>
      </c>
      <c r="T46" s="154">
        <v>112.0</v>
      </c>
      <c r="U46" s="154">
        <v>85.0</v>
      </c>
      <c r="V46" s="154">
        <v>85.0</v>
      </c>
      <c r="W46" s="154">
        <v>69.0</v>
      </c>
      <c r="X46" s="154">
        <v>69.0</v>
      </c>
      <c r="Y46" s="154">
        <v>59.0</v>
      </c>
      <c r="Z46" s="154">
        <v>40.0</v>
      </c>
    </row>
    <row r="47" ht="22.5" customHeight="1">
      <c r="A47" s="154" t="s">
        <v>1076</v>
      </c>
      <c r="B47" s="154">
        <v>12.0</v>
      </c>
      <c r="C47" s="154">
        <v>34.0</v>
      </c>
      <c r="D47" s="154">
        <v>11.0</v>
      </c>
      <c r="E47" s="154">
        <v>25.0</v>
      </c>
      <c r="F47" s="154">
        <v>17.0</v>
      </c>
      <c r="G47" s="154">
        <v>51.0</v>
      </c>
      <c r="H47" s="154">
        <v>6.0</v>
      </c>
      <c r="I47" s="154">
        <v>10.0</v>
      </c>
      <c r="J47" s="154">
        <v>13.0</v>
      </c>
      <c r="K47" s="155">
        <v>0.19</v>
      </c>
      <c r="L47" s="155">
        <v>0.15</v>
      </c>
      <c r="M47" s="155">
        <v>0.14</v>
      </c>
      <c r="N47" s="155">
        <v>0.15</v>
      </c>
      <c r="O47" s="155">
        <v>0.19</v>
      </c>
      <c r="P47" s="155">
        <v>0.14</v>
      </c>
      <c r="Q47" s="155">
        <v>0.2</v>
      </c>
      <c r="R47" s="155">
        <v>0.17</v>
      </c>
      <c r="S47" s="154">
        <v>112.0</v>
      </c>
      <c r="T47" s="154">
        <v>112.0</v>
      </c>
      <c r="U47" s="154">
        <v>85.0</v>
      </c>
      <c r="V47" s="154">
        <v>85.0</v>
      </c>
      <c r="W47" s="154">
        <v>69.0</v>
      </c>
      <c r="X47" s="154">
        <v>69.0</v>
      </c>
      <c r="Y47" s="154">
        <v>59.0</v>
      </c>
      <c r="Z47" s="154">
        <v>40.0</v>
      </c>
    </row>
    <row r="48" ht="22.5" customHeight="1">
      <c r="A48" s="154" t="s">
        <v>1076</v>
      </c>
      <c r="B48" s="154">
        <v>13.0</v>
      </c>
      <c r="C48" s="154">
        <v>35.0</v>
      </c>
      <c r="D48" s="154">
        <v>12.0</v>
      </c>
      <c r="E48" s="154">
        <v>26.0</v>
      </c>
      <c r="F48" s="154">
        <v>17.0</v>
      </c>
      <c r="G48" s="154">
        <v>53.0</v>
      </c>
      <c r="H48" s="154">
        <v>6.0</v>
      </c>
      <c r="I48" s="154">
        <v>11.0</v>
      </c>
      <c r="J48" s="154">
        <v>13.0</v>
      </c>
      <c r="K48" s="155">
        <v>0.19</v>
      </c>
      <c r="L48" s="155">
        <v>0.15</v>
      </c>
      <c r="M48" s="155">
        <v>0.14</v>
      </c>
      <c r="N48" s="155">
        <v>0.15</v>
      </c>
      <c r="O48" s="155">
        <v>0.19</v>
      </c>
      <c r="P48" s="155">
        <v>0.14</v>
      </c>
      <c r="Q48" s="155">
        <v>0.2</v>
      </c>
      <c r="R48" s="155">
        <v>0.17</v>
      </c>
      <c r="S48" s="154">
        <v>112.0</v>
      </c>
      <c r="T48" s="154">
        <v>112.0</v>
      </c>
      <c r="U48" s="154">
        <v>85.0</v>
      </c>
      <c r="V48" s="154">
        <v>85.0</v>
      </c>
      <c r="W48" s="154">
        <v>69.0</v>
      </c>
      <c r="X48" s="154">
        <v>69.0</v>
      </c>
      <c r="Y48" s="154">
        <v>59.0</v>
      </c>
      <c r="Z48" s="154">
        <v>40.0</v>
      </c>
    </row>
    <row r="49" ht="22.5" customHeight="1">
      <c r="A49" s="154" t="s">
        <v>1076</v>
      </c>
      <c r="B49" s="154">
        <v>14.0</v>
      </c>
      <c r="C49" s="154">
        <v>36.0</v>
      </c>
      <c r="D49" s="154">
        <v>13.0</v>
      </c>
      <c r="E49" s="154">
        <v>27.0</v>
      </c>
      <c r="F49" s="154">
        <v>18.0</v>
      </c>
      <c r="G49" s="154">
        <v>55.0</v>
      </c>
      <c r="H49" s="154">
        <v>6.0</v>
      </c>
      <c r="I49" s="154">
        <v>12.0</v>
      </c>
      <c r="J49" s="154">
        <v>13.0</v>
      </c>
      <c r="K49" s="155">
        <v>0.19</v>
      </c>
      <c r="L49" s="155">
        <v>0.15</v>
      </c>
      <c r="M49" s="155">
        <v>0.14</v>
      </c>
      <c r="N49" s="155">
        <v>0.15</v>
      </c>
      <c r="O49" s="155">
        <v>0.19</v>
      </c>
      <c r="P49" s="155">
        <v>0.14</v>
      </c>
      <c r="Q49" s="155">
        <v>0.2</v>
      </c>
      <c r="R49" s="155">
        <v>0.17</v>
      </c>
      <c r="S49" s="154">
        <v>112.0</v>
      </c>
      <c r="T49" s="154">
        <v>112.0</v>
      </c>
      <c r="U49" s="154">
        <v>85.0</v>
      </c>
      <c r="V49" s="154">
        <v>85.0</v>
      </c>
      <c r="W49" s="154">
        <v>69.0</v>
      </c>
      <c r="X49" s="154">
        <v>69.0</v>
      </c>
      <c r="Y49" s="154">
        <v>59.0</v>
      </c>
      <c r="Z49" s="154">
        <v>40.0</v>
      </c>
    </row>
    <row r="50" ht="22.5" customHeight="1">
      <c r="A50" s="154" t="s">
        <v>1076</v>
      </c>
      <c r="B50" s="154">
        <v>15.0</v>
      </c>
      <c r="C50" s="154">
        <v>37.0</v>
      </c>
      <c r="D50" s="154">
        <v>14.0</v>
      </c>
      <c r="E50" s="154">
        <v>28.0</v>
      </c>
      <c r="F50" s="154">
        <v>19.0</v>
      </c>
      <c r="G50" s="154">
        <v>57.0</v>
      </c>
      <c r="H50" s="154">
        <v>7.0</v>
      </c>
      <c r="I50" s="154">
        <v>13.0</v>
      </c>
      <c r="J50" s="154">
        <v>13.0</v>
      </c>
      <c r="K50" s="155">
        <v>0.19</v>
      </c>
      <c r="L50" s="155">
        <v>0.15</v>
      </c>
      <c r="M50" s="155">
        <v>0.14</v>
      </c>
      <c r="N50" s="155">
        <v>0.15</v>
      </c>
      <c r="O50" s="155">
        <v>0.19</v>
      </c>
      <c r="P50" s="155">
        <v>0.14</v>
      </c>
      <c r="Q50" s="155">
        <v>0.2</v>
      </c>
      <c r="R50" s="155">
        <v>0.17</v>
      </c>
      <c r="S50" s="154">
        <v>112.0</v>
      </c>
      <c r="T50" s="154">
        <v>112.0</v>
      </c>
      <c r="U50" s="154">
        <v>85.0</v>
      </c>
      <c r="V50" s="154">
        <v>85.0</v>
      </c>
      <c r="W50" s="154">
        <v>69.0</v>
      </c>
      <c r="X50" s="154">
        <v>69.0</v>
      </c>
      <c r="Y50" s="154">
        <v>59.0</v>
      </c>
      <c r="Z50" s="154">
        <v>40.0</v>
      </c>
    </row>
    <row r="51" ht="22.5" customHeight="1">
      <c r="A51" s="153" t="s">
        <v>1081</v>
      </c>
      <c r="B51" s="154">
        <v>11.0</v>
      </c>
      <c r="C51" s="153">
        <v>37.0</v>
      </c>
      <c r="D51" s="153">
        <v>8.0</v>
      </c>
      <c r="E51" s="153">
        <v>22.0</v>
      </c>
      <c r="F51" s="153">
        <v>20.0</v>
      </c>
      <c r="G51" s="153">
        <v>56.0</v>
      </c>
      <c r="H51" s="153">
        <v>6.0</v>
      </c>
      <c r="I51" s="153">
        <v>4.0</v>
      </c>
      <c r="J51" s="153">
        <v>28.0</v>
      </c>
      <c r="K51" s="155">
        <v>0.24</v>
      </c>
      <c r="L51" s="155">
        <v>0.25</v>
      </c>
      <c r="M51" s="155">
        <v>0.24</v>
      </c>
      <c r="N51" s="155">
        <v>0.25</v>
      </c>
      <c r="O51" s="155">
        <v>0.14</v>
      </c>
      <c r="P51" s="155">
        <v>0.19</v>
      </c>
      <c r="Q51" s="155">
        <v>0.15</v>
      </c>
      <c r="R51" s="155">
        <v>0.22</v>
      </c>
      <c r="S51" s="154">
        <v>92.0</v>
      </c>
      <c r="T51" s="154">
        <v>92.0</v>
      </c>
      <c r="U51" s="154">
        <v>105.0</v>
      </c>
      <c r="V51" s="154">
        <v>105.0</v>
      </c>
      <c r="W51" s="154">
        <v>49.0</v>
      </c>
      <c r="X51" s="154">
        <v>49.0</v>
      </c>
      <c r="Y51" s="154">
        <v>69.0</v>
      </c>
      <c r="Z51" s="154">
        <v>40.0</v>
      </c>
    </row>
    <row r="52" ht="22.5" customHeight="1">
      <c r="A52" s="154" t="s">
        <v>1077</v>
      </c>
      <c r="B52" s="154">
        <v>1.0</v>
      </c>
      <c r="C52" s="154">
        <v>7.0</v>
      </c>
      <c r="D52" s="154">
        <v>6.0</v>
      </c>
      <c r="E52" s="154">
        <v>3.0</v>
      </c>
      <c r="F52" s="154">
        <v>2.0</v>
      </c>
      <c r="G52" s="154">
        <v>4.0</v>
      </c>
      <c r="H52" s="154">
        <v>4.0</v>
      </c>
      <c r="I52" s="154">
        <v>3.0</v>
      </c>
      <c r="J52" s="154">
        <v>11.0</v>
      </c>
      <c r="K52" s="155">
        <v>0.19</v>
      </c>
      <c r="L52" s="155">
        <v>0.15</v>
      </c>
      <c r="M52" s="155">
        <v>0.14</v>
      </c>
      <c r="N52" s="155">
        <v>0.15</v>
      </c>
      <c r="O52" s="155">
        <v>0.28</v>
      </c>
      <c r="P52" s="155">
        <v>0.22</v>
      </c>
      <c r="Q52" s="155">
        <v>0.22</v>
      </c>
      <c r="R52" s="155">
        <v>0.23</v>
      </c>
      <c r="S52" s="154">
        <v>102.0</v>
      </c>
      <c r="T52" s="154">
        <v>102.0</v>
      </c>
      <c r="U52" s="154">
        <v>85.0</v>
      </c>
      <c r="V52" s="154">
        <v>85.0</v>
      </c>
      <c r="W52" s="154">
        <v>69.0</v>
      </c>
      <c r="X52" s="154">
        <v>69.0</v>
      </c>
      <c r="Y52" s="154">
        <v>59.0</v>
      </c>
      <c r="Z52" s="154">
        <v>40.0</v>
      </c>
    </row>
    <row r="53" ht="22.5" customHeight="1">
      <c r="A53" s="154" t="s">
        <v>1077</v>
      </c>
      <c r="B53" s="154">
        <v>2.0</v>
      </c>
      <c r="C53" s="154">
        <v>13.0</v>
      </c>
      <c r="D53" s="154">
        <v>9.0</v>
      </c>
      <c r="E53" s="154">
        <v>4.0</v>
      </c>
      <c r="F53" s="154">
        <v>4.0</v>
      </c>
      <c r="G53" s="154">
        <v>12.0</v>
      </c>
      <c r="H53" s="154">
        <v>8.0</v>
      </c>
      <c r="I53" s="154">
        <v>6.0</v>
      </c>
      <c r="J53" s="154">
        <v>11.0</v>
      </c>
      <c r="K53" s="155">
        <v>0.19</v>
      </c>
      <c r="L53" s="155">
        <v>0.15</v>
      </c>
      <c r="M53" s="155">
        <v>0.14</v>
      </c>
      <c r="N53" s="155">
        <v>0.15</v>
      </c>
      <c r="O53" s="155">
        <v>0.28</v>
      </c>
      <c r="P53" s="155">
        <v>0.22</v>
      </c>
      <c r="Q53" s="155">
        <v>0.22</v>
      </c>
      <c r="R53" s="155">
        <v>0.23</v>
      </c>
      <c r="S53" s="154">
        <v>102.0</v>
      </c>
      <c r="T53" s="154">
        <v>102.0</v>
      </c>
      <c r="U53" s="154">
        <v>85.0</v>
      </c>
      <c r="V53" s="154">
        <v>85.0</v>
      </c>
      <c r="W53" s="154">
        <v>69.0</v>
      </c>
      <c r="X53" s="154">
        <v>69.0</v>
      </c>
      <c r="Y53" s="154">
        <v>59.0</v>
      </c>
      <c r="Z53" s="154">
        <v>40.0</v>
      </c>
    </row>
    <row r="54" ht="22.5" customHeight="1">
      <c r="A54" s="154" t="s">
        <v>1077</v>
      </c>
      <c r="B54" s="154">
        <v>3.0</v>
      </c>
      <c r="C54" s="154">
        <v>15.0</v>
      </c>
      <c r="D54" s="154">
        <v>10.0</v>
      </c>
      <c r="E54" s="154">
        <v>5.0</v>
      </c>
      <c r="F54" s="154">
        <v>4.0</v>
      </c>
      <c r="G54" s="154">
        <v>14.0</v>
      </c>
      <c r="H54" s="154">
        <v>10.0</v>
      </c>
      <c r="I54" s="154">
        <v>7.0</v>
      </c>
      <c r="J54" s="154">
        <v>11.0</v>
      </c>
      <c r="K54" s="155">
        <v>0.19</v>
      </c>
      <c r="L54" s="155">
        <v>0.15</v>
      </c>
      <c r="M54" s="155">
        <v>0.14</v>
      </c>
      <c r="N54" s="155">
        <v>0.15</v>
      </c>
      <c r="O54" s="155">
        <v>0.28</v>
      </c>
      <c r="P54" s="155">
        <v>0.22</v>
      </c>
      <c r="Q54" s="155">
        <v>0.22</v>
      </c>
      <c r="R54" s="155">
        <v>0.23</v>
      </c>
      <c r="S54" s="154">
        <v>102.0</v>
      </c>
      <c r="T54" s="154">
        <v>102.0</v>
      </c>
      <c r="U54" s="154">
        <v>85.0</v>
      </c>
      <c r="V54" s="154">
        <v>85.0</v>
      </c>
      <c r="W54" s="154">
        <v>69.0</v>
      </c>
      <c r="X54" s="154">
        <v>69.0</v>
      </c>
      <c r="Y54" s="154">
        <v>59.0</v>
      </c>
      <c r="Z54" s="154">
        <v>40.0</v>
      </c>
    </row>
    <row r="55" ht="22.5" customHeight="1">
      <c r="A55" s="154" t="s">
        <v>1077</v>
      </c>
      <c r="B55" s="154">
        <v>4.0</v>
      </c>
      <c r="C55" s="154">
        <v>17.0</v>
      </c>
      <c r="D55" s="154">
        <v>12.0</v>
      </c>
      <c r="E55" s="154">
        <v>6.0</v>
      </c>
      <c r="F55" s="154">
        <v>5.0</v>
      </c>
      <c r="G55" s="154">
        <v>16.0</v>
      </c>
      <c r="H55" s="154">
        <v>13.0</v>
      </c>
      <c r="I55" s="154">
        <v>9.0</v>
      </c>
      <c r="J55" s="154">
        <v>11.0</v>
      </c>
      <c r="K55" s="155">
        <v>0.19</v>
      </c>
      <c r="L55" s="155">
        <v>0.15</v>
      </c>
      <c r="M55" s="155">
        <v>0.14</v>
      </c>
      <c r="N55" s="155">
        <v>0.15</v>
      </c>
      <c r="O55" s="155">
        <v>0.28</v>
      </c>
      <c r="P55" s="155">
        <v>0.22</v>
      </c>
      <c r="Q55" s="155">
        <v>0.22</v>
      </c>
      <c r="R55" s="155">
        <v>0.23</v>
      </c>
      <c r="S55" s="154">
        <v>102.0</v>
      </c>
      <c r="T55" s="154">
        <v>102.0</v>
      </c>
      <c r="U55" s="154">
        <v>85.0</v>
      </c>
      <c r="V55" s="154">
        <v>85.0</v>
      </c>
      <c r="W55" s="154">
        <v>69.0</v>
      </c>
      <c r="X55" s="154">
        <v>69.0</v>
      </c>
      <c r="Y55" s="154">
        <v>59.0</v>
      </c>
      <c r="Z55" s="154">
        <v>40.0</v>
      </c>
    </row>
    <row r="56" ht="22.5" customHeight="1">
      <c r="A56" s="154" t="s">
        <v>1077</v>
      </c>
      <c r="B56" s="154">
        <v>5.0</v>
      </c>
      <c r="C56" s="154">
        <v>19.0</v>
      </c>
      <c r="D56" s="154">
        <v>13.0</v>
      </c>
      <c r="E56" s="154">
        <v>7.0</v>
      </c>
      <c r="F56" s="154">
        <v>5.0</v>
      </c>
      <c r="G56" s="154">
        <v>18.0</v>
      </c>
      <c r="H56" s="154">
        <v>16.0</v>
      </c>
      <c r="I56" s="154">
        <v>11.0</v>
      </c>
      <c r="J56" s="154">
        <v>11.0</v>
      </c>
      <c r="K56" s="155">
        <v>0.19</v>
      </c>
      <c r="L56" s="155">
        <v>0.15</v>
      </c>
      <c r="M56" s="155">
        <v>0.14</v>
      </c>
      <c r="N56" s="155">
        <v>0.15</v>
      </c>
      <c r="O56" s="155">
        <v>0.28</v>
      </c>
      <c r="P56" s="155">
        <v>0.22</v>
      </c>
      <c r="Q56" s="155">
        <v>0.22</v>
      </c>
      <c r="R56" s="155">
        <v>0.23</v>
      </c>
      <c r="S56" s="154">
        <v>102.0</v>
      </c>
      <c r="T56" s="154">
        <v>102.0</v>
      </c>
      <c r="U56" s="154">
        <v>85.0</v>
      </c>
      <c r="V56" s="154">
        <v>85.0</v>
      </c>
      <c r="W56" s="154">
        <v>69.0</v>
      </c>
      <c r="X56" s="154">
        <v>69.0</v>
      </c>
      <c r="Y56" s="154">
        <v>59.0</v>
      </c>
      <c r="Z56" s="154">
        <v>40.0</v>
      </c>
    </row>
    <row r="57" ht="22.5" customHeight="1">
      <c r="A57" s="154" t="s">
        <v>1077</v>
      </c>
      <c r="B57" s="154">
        <v>6.0</v>
      </c>
      <c r="C57" s="154">
        <v>21.0</v>
      </c>
      <c r="D57" s="154">
        <v>15.0</v>
      </c>
      <c r="E57" s="154">
        <v>8.0</v>
      </c>
      <c r="F57" s="154">
        <v>6.0</v>
      </c>
      <c r="G57" s="154">
        <v>21.0</v>
      </c>
      <c r="H57" s="154">
        <v>19.0</v>
      </c>
      <c r="I57" s="154">
        <v>13.0</v>
      </c>
      <c r="J57" s="154">
        <v>11.0</v>
      </c>
      <c r="K57" s="155">
        <v>0.19</v>
      </c>
      <c r="L57" s="155">
        <v>0.15</v>
      </c>
      <c r="M57" s="155">
        <v>0.14</v>
      </c>
      <c r="N57" s="155">
        <v>0.15</v>
      </c>
      <c r="O57" s="155">
        <v>0.28</v>
      </c>
      <c r="P57" s="155">
        <v>0.22</v>
      </c>
      <c r="Q57" s="155">
        <v>0.22</v>
      </c>
      <c r="R57" s="155">
        <v>0.23</v>
      </c>
      <c r="S57" s="154">
        <v>102.0</v>
      </c>
      <c r="T57" s="154">
        <v>102.0</v>
      </c>
      <c r="U57" s="154">
        <v>85.0</v>
      </c>
      <c r="V57" s="154">
        <v>85.0</v>
      </c>
      <c r="W57" s="154">
        <v>69.0</v>
      </c>
      <c r="X57" s="154">
        <v>69.0</v>
      </c>
      <c r="Y57" s="154">
        <v>59.0</v>
      </c>
      <c r="Z57" s="154">
        <v>40.0</v>
      </c>
    </row>
    <row r="58" ht="22.5" customHeight="1">
      <c r="A58" s="154" t="s">
        <v>1077</v>
      </c>
      <c r="B58" s="154">
        <v>7.0</v>
      </c>
      <c r="C58" s="154">
        <v>24.0</v>
      </c>
      <c r="D58" s="154">
        <v>16.0</v>
      </c>
      <c r="E58" s="154">
        <v>9.0</v>
      </c>
      <c r="F58" s="154">
        <v>6.0</v>
      </c>
      <c r="G58" s="154">
        <v>23.0</v>
      </c>
      <c r="H58" s="154">
        <v>22.0</v>
      </c>
      <c r="I58" s="154">
        <v>15.0</v>
      </c>
      <c r="J58" s="154">
        <v>11.0</v>
      </c>
      <c r="K58" s="155">
        <v>0.19</v>
      </c>
      <c r="L58" s="155">
        <v>0.15</v>
      </c>
      <c r="M58" s="155">
        <v>0.14</v>
      </c>
      <c r="N58" s="155">
        <v>0.15</v>
      </c>
      <c r="O58" s="155">
        <v>0.28</v>
      </c>
      <c r="P58" s="155">
        <v>0.22</v>
      </c>
      <c r="Q58" s="155">
        <v>0.22</v>
      </c>
      <c r="R58" s="155">
        <v>0.23</v>
      </c>
      <c r="S58" s="154">
        <v>102.0</v>
      </c>
      <c r="T58" s="154">
        <v>102.0</v>
      </c>
      <c r="U58" s="154">
        <v>85.0</v>
      </c>
      <c r="V58" s="154">
        <v>85.0</v>
      </c>
      <c r="W58" s="154">
        <v>69.0</v>
      </c>
      <c r="X58" s="154">
        <v>69.0</v>
      </c>
      <c r="Y58" s="154">
        <v>59.0</v>
      </c>
      <c r="Z58" s="154">
        <v>40.0</v>
      </c>
    </row>
    <row r="59" ht="22.5" customHeight="1">
      <c r="A59" s="154" t="s">
        <v>1077</v>
      </c>
      <c r="B59" s="154">
        <v>8.0</v>
      </c>
      <c r="C59" s="154">
        <v>26.0</v>
      </c>
      <c r="D59" s="154">
        <v>18.0</v>
      </c>
      <c r="E59" s="154">
        <v>10.0</v>
      </c>
      <c r="F59" s="154">
        <v>7.0</v>
      </c>
      <c r="G59" s="154">
        <v>25.0</v>
      </c>
      <c r="H59" s="154">
        <v>24.0</v>
      </c>
      <c r="I59" s="154">
        <v>16.0</v>
      </c>
      <c r="J59" s="154">
        <v>11.0</v>
      </c>
      <c r="K59" s="155">
        <v>0.19</v>
      </c>
      <c r="L59" s="155">
        <v>0.15</v>
      </c>
      <c r="M59" s="155">
        <v>0.14</v>
      </c>
      <c r="N59" s="155">
        <v>0.15</v>
      </c>
      <c r="O59" s="155">
        <v>0.28</v>
      </c>
      <c r="P59" s="155">
        <v>0.22</v>
      </c>
      <c r="Q59" s="155">
        <v>0.22</v>
      </c>
      <c r="R59" s="155">
        <v>0.23</v>
      </c>
      <c r="S59" s="154">
        <v>102.0</v>
      </c>
      <c r="T59" s="154">
        <v>102.0</v>
      </c>
      <c r="U59" s="154">
        <v>85.0</v>
      </c>
      <c r="V59" s="154">
        <v>85.0</v>
      </c>
      <c r="W59" s="154">
        <v>69.0</v>
      </c>
      <c r="X59" s="154">
        <v>69.0</v>
      </c>
      <c r="Y59" s="154">
        <v>59.0</v>
      </c>
      <c r="Z59" s="154">
        <v>40.0</v>
      </c>
    </row>
    <row r="60" ht="22.5" customHeight="1">
      <c r="A60" s="154" t="s">
        <v>1077</v>
      </c>
      <c r="B60" s="156">
        <v>9.0</v>
      </c>
      <c r="C60" s="154">
        <v>28.0</v>
      </c>
      <c r="D60" s="154">
        <v>19.0</v>
      </c>
      <c r="E60" s="154">
        <v>11.0</v>
      </c>
      <c r="F60" s="154">
        <v>7.0</v>
      </c>
      <c r="G60" s="154">
        <v>28.0</v>
      </c>
      <c r="H60" s="154">
        <v>27.0</v>
      </c>
      <c r="I60" s="154">
        <v>18.0</v>
      </c>
      <c r="J60" s="154">
        <v>11.0</v>
      </c>
      <c r="K60" s="155">
        <v>0.19</v>
      </c>
      <c r="L60" s="155">
        <v>0.15</v>
      </c>
      <c r="M60" s="155">
        <v>0.14</v>
      </c>
      <c r="N60" s="155">
        <v>0.15</v>
      </c>
      <c r="O60" s="155">
        <v>0.28</v>
      </c>
      <c r="P60" s="155">
        <v>0.22</v>
      </c>
      <c r="Q60" s="155">
        <v>0.22</v>
      </c>
      <c r="R60" s="155">
        <v>0.23</v>
      </c>
      <c r="S60" s="154">
        <v>102.0</v>
      </c>
      <c r="T60" s="154">
        <v>102.0</v>
      </c>
      <c r="U60" s="154">
        <v>85.0</v>
      </c>
      <c r="V60" s="154">
        <v>85.0</v>
      </c>
      <c r="W60" s="154">
        <v>69.0</v>
      </c>
      <c r="X60" s="154">
        <v>69.0</v>
      </c>
      <c r="Y60" s="154">
        <v>59.0</v>
      </c>
      <c r="Z60" s="154">
        <v>40.0</v>
      </c>
    </row>
    <row r="61" ht="22.5" customHeight="1">
      <c r="A61" s="154" t="s">
        <v>1077</v>
      </c>
      <c r="B61" s="156">
        <v>10.0</v>
      </c>
      <c r="C61" s="154">
        <v>30.0</v>
      </c>
      <c r="D61" s="154">
        <v>21.0</v>
      </c>
      <c r="E61" s="154">
        <v>12.0</v>
      </c>
      <c r="F61" s="154">
        <v>8.0</v>
      </c>
      <c r="G61" s="154">
        <v>30.0</v>
      </c>
      <c r="H61" s="154">
        <v>30.0</v>
      </c>
      <c r="I61" s="154">
        <v>20.0</v>
      </c>
      <c r="J61" s="154">
        <v>11.0</v>
      </c>
      <c r="K61" s="155">
        <v>0.19</v>
      </c>
      <c r="L61" s="155">
        <v>0.15</v>
      </c>
      <c r="M61" s="155">
        <v>0.14</v>
      </c>
      <c r="N61" s="155">
        <v>0.15</v>
      </c>
      <c r="O61" s="155">
        <v>0.28</v>
      </c>
      <c r="P61" s="155">
        <v>0.22</v>
      </c>
      <c r="Q61" s="155">
        <v>0.22</v>
      </c>
      <c r="R61" s="155">
        <v>0.23</v>
      </c>
      <c r="S61" s="154">
        <v>102.0</v>
      </c>
      <c r="T61" s="154">
        <v>102.0</v>
      </c>
      <c r="U61" s="154">
        <v>85.0</v>
      </c>
      <c r="V61" s="154">
        <v>85.0</v>
      </c>
      <c r="W61" s="154">
        <v>69.0</v>
      </c>
      <c r="X61" s="154">
        <v>69.0</v>
      </c>
      <c r="Y61" s="154">
        <v>59.0</v>
      </c>
      <c r="Z61" s="154">
        <v>40.0</v>
      </c>
    </row>
    <row r="62" ht="22.5" customHeight="1">
      <c r="A62" s="154" t="s">
        <v>1077</v>
      </c>
      <c r="B62" s="154">
        <v>11.0</v>
      </c>
      <c r="C62" s="154">
        <v>32.0</v>
      </c>
      <c r="D62" s="154">
        <v>22.0</v>
      </c>
      <c r="E62" s="154">
        <v>13.0</v>
      </c>
      <c r="F62" s="154">
        <v>8.0</v>
      </c>
      <c r="G62" s="154">
        <v>32.0</v>
      </c>
      <c r="H62" s="154">
        <v>33.0</v>
      </c>
      <c r="I62" s="154">
        <v>22.0</v>
      </c>
      <c r="J62" s="154">
        <v>11.0</v>
      </c>
      <c r="K62" s="155">
        <v>0.19</v>
      </c>
      <c r="L62" s="155">
        <v>0.15</v>
      </c>
      <c r="M62" s="155">
        <v>0.14</v>
      </c>
      <c r="N62" s="155">
        <v>0.15</v>
      </c>
      <c r="O62" s="155">
        <v>0.28</v>
      </c>
      <c r="P62" s="155">
        <v>0.22</v>
      </c>
      <c r="Q62" s="155">
        <v>0.22</v>
      </c>
      <c r="R62" s="155">
        <v>0.23</v>
      </c>
      <c r="S62" s="154">
        <v>102.0</v>
      </c>
      <c r="T62" s="154">
        <v>102.0</v>
      </c>
      <c r="U62" s="154">
        <v>85.0</v>
      </c>
      <c r="V62" s="154">
        <v>85.0</v>
      </c>
      <c r="W62" s="154">
        <v>69.0</v>
      </c>
      <c r="X62" s="154">
        <v>69.0</v>
      </c>
      <c r="Y62" s="154">
        <v>59.0</v>
      </c>
      <c r="Z62" s="154">
        <v>40.0</v>
      </c>
    </row>
    <row r="63" ht="22.5" customHeight="1">
      <c r="A63" s="154" t="s">
        <v>1077</v>
      </c>
      <c r="B63" s="154">
        <v>12.0</v>
      </c>
      <c r="C63" s="154">
        <v>35.0</v>
      </c>
      <c r="D63" s="154">
        <v>24.0</v>
      </c>
      <c r="E63" s="154">
        <v>14.0</v>
      </c>
      <c r="F63" s="154">
        <v>9.0</v>
      </c>
      <c r="G63" s="154">
        <v>35.0</v>
      </c>
      <c r="H63" s="154">
        <v>36.0</v>
      </c>
      <c r="I63" s="154">
        <v>24.0</v>
      </c>
      <c r="J63" s="154">
        <v>11.0</v>
      </c>
      <c r="K63" s="155">
        <v>0.19</v>
      </c>
      <c r="L63" s="155">
        <v>0.15</v>
      </c>
      <c r="M63" s="155">
        <v>0.14</v>
      </c>
      <c r="N63" s="155">
        <v>0.15</v>
      </c>
      <c r="O63" s="155">
        <v>0.28</v>
      </c>
      <c r="P63" s="155">
        <v>0.22</v>
      </c>
      <c r="Q63" s="155">
        <v>0.22</v>
      </c>
      <c r="R63" s="155">
        <v>0.23</v>
      </c>
      <c r="S63" s="154">
        <v>102.0</v>
      </c>
      <c r="T63" s="154">
        <v>102.0</v>
      </c>
      <c r="U63" s="154">
        <v>85.0</v>
      </c>
      <c r="V63" s="154">
        <v>85.0</v>
      </c>
      <c r="W63" s="154">
        <v>69.0</v>
      </c>
      <c r="X63" s="154">
        <v>69.0</v>
      </c>
      <c r="Y63" s="154">
        <v>59.0</v>
      </c>
      <c r="Z63" s="154">
        <v>40.0</v>
      </c>
    </row>
    <row r="64" ht="22.5" customHeight="1">
      <c r="A64" s="154" t="s">
        <v>1077</v>
      </c>
      <c r="B64" s="154">
        <v>13.0</v>
      </c>
      <c r="C64" s="154">
        <v>36.0</v>
      </c>
      <c r="D64" s="154">
        <v>25.0</v>
      </c>
      <c r="E64" s="154">
        <v>15.0</v>
      </c>
      <c r="F64" s="154">
        <v>9.0</v>
      </c>
      <c r="G64" s="154">
        <v>37.0</v>
      </c>
      <c r="H64" s="154">
        <v>38.0</v>
      </c>
      <c r="I64" s="154">
        <v>25.0</v>
      </c>
      <c r="J64" s="154">
        <v>11.0</v>
      </c>
      <c r="K64" s="155">
        <v>0.19</v>
      </c>
      <c r="L64" s="155">
        <v>0.15</v>
      </c>
      <c r="M64" s="155">
        <v>0.14</v>
      </c>
      <c r="N64" s="155">
        <v>0.15</v>
      </c>
      <c r="O64" s="155">
        <v>0.28</v>
      </c>
      <c r="P64" s="155">
        <v>0.22</v>
      </c>
      <c r="Q64" s="155">
        <v>0.22</v>
      </c>
      <c r="R64" s="155">
        <v>0.23</v>
      </c>
      <c r="S64" s="154">
        <v>102.0</v>
      </c>
      <c r="T64" s="154">
        <v>102.0</v>
      </c>
      <c r="U64" s="154">
        <v>85.0</v>
      </c>
      <c r="V64" s="154">
        <v>85.0</v>
      </c>
      <c r="W64" s="154">
        <v>69.0</v>
      </c>
      <c r="X64" s="154">
        <v>69.0</v>
      </c>
      <c r="Y64" s="154">
        <v>59.0</v>
      </c>
      <c r="Z64" s="154">
        <v>40.0</v>
      </c>
    </row>
    <row r="65" ht="22.5" customHeight="1">
      <c r="A65" s="154" t="s">
        <v>1077</v>
      </c>
      <c r="B65" s="154">
        <v>14.0</v>
      </c>
      <c r="C65" s="154">
        <v>37.0</v>
      </c>
      <c r="D65" s="154">
        <v>26.0</v>
      </c>
      <c r="E65" s="154">
        <v>16.0</v>
      </c>
      <c r="F65" s="154">
        <v>10.0</v>
      </c>
      <c r="G65" s="154">
        <v>39.0</v>
      </c>
      <c r="H65" s="154">
        <v>40.0</v>
      </c>
      <c r="I65" s="154">
        <v>26.0</v>
      </c>
      <c r="J65" s="154">
        <v>11.0</v>
      </c>
      <c r="K65" s="155">
        <v>0.19</v>
      </c>
      <c r="L65" s="155">
        <v>0.15</v>
      </c>
      <c r="M65" s="155">
        <v>0.14</v>
      </c>
      <c r="N65" s="155">
        <v>0.15</v>
      </c>
      <c r="O65" s="155">
        <v>0.28</v>
      </c>
      <c r="P65" s="155">
        <v>0.22</v>
      </c>
      <c r="Q65" s="155">
        <v>0.22</v>
      </c>
      <c r="R65" s="155">
        <v>0.23</v>
      </c>
      <c r="S65" s="154">
        <v>102.0</v>
      </c>
      <c r="T65" s="154">
        <v>102.0</v>
      </c>
      <c r="U65" s="154">
        <v>85.0</v>
      </c>
      <c r="V65" s="154">
        <v>85.0</v>
      </c>
      <c r="W65" s="154">
        <v>69.0</v>
      </c>
      <c r="X65" s="154">
        <v>69.0</v>
      </c>
      <c r="Y65" s="154">
        <v>59.0</v>
      </c>
      <c r="Z65" s="154">
        <v>40.0</v>
      </c>
    </row>
    <row r="66" ht="22.5" customHeight="1">
      <c r="A66" s="154" t="s">
        <v>1077</v>
      </c>
      <c r="B66" s="154">
        <v>15.0</v>
      </c>
      <c r="C66" s="154">
        <v>39.0</v>
      </c>
      <c r="D66" s="154">
        <v>27.0</v>
      </c>
      <c r="E66" s="154">
        <v>18.0</v>
      </c>
      <c r="F66" s="154">
        <v>11.0</v>
      </c>
      <c r="G66" s="154">
        <v>41.0</v>
      </c>
      <c r="H66" s="154">
        <v>42.0</v>
      </c>
      <c r="I66" s="154">
        <v>27.0</v>
      </c>
      <c r="J66" s="154">
        <v>11.0</v>
      </c>
      <c r="K66" s="155">
        <v>0.19</v>
      </c>
      <c r="L66" s="155">
        <v>0.15</v>
      </c>
      <c r="M66" s="155">
        <v>0.14</v>
      </c>
      <c r="N66" s="155">
        <v>0.15</v>
      </c>
      <c r="O66" s="155">
        <v>0.28</v>
      </c>
      <c r="P66" s="155">
        <v>0.22</v>
      </c>
      <c r="Q66" s="155">
        <v>0.22</v>
      </c>
      <c r="R66" s="155">
        <v>0.23</v>
      </c>
      <c r="S66" s="154">
        <v>102.0</v>
      </c>
      <c r="T66" s="154">
        <v>102.0</v>
      </c>
      <c r="U66" s="154">
        <v>85.0</v>
      </c>
      <c r="V66" s="154">
        <v>85.0</v>
      </c>
      <c r="W66" s="154">
        <v>69.0</v>
      </c>
      <c r="X66" s="154">
        <v>69.0</v>
      </c>
      <c r="Y66" s="154">
        <v>59.0</v>
      </c>
      <c r="Z66" s="154">
        <v>40.0</v>
      </c>
    </row>
    <row r="67" ht="22.5" customHeight="1">
      <c r="A67" s="153" t="s">
        <v>1081</v>
      </c>
      <c r="B67" s="154">
        <v>12.0</v>
      </c>
      <c r="C67" s="153">
        <v>40.0</v>
      </c>
      <c r="D67" s="153">
        <v>9.0</v>
      </c>
      <c r="E67" s="153">
        <v>24.0</v>
      </c>
      <c r="F67" s="153">
        <v>22.0</v>
      </c>
      <c r="G67" s="153">
        <v>60.0</v>
      </c>
      <c r="H67" s="153">
        <v>7.0</v>
      </c>
      <c r="I67" s="153">
        <v>5.0</v>
      </c>
      <c r="J67" s="153">
        <v>28.0</v>
      </c>
      <c r="K67" s="155">
        <v>0.24</v>
      </c>
      <c r="L67" s="155">
        <v>0.25</v>
      </c>
      <c r="M67" s="155">
        <v>0.24</v>
      </c>
      <c r="N67" s="155">
        <v>0.25</v>
      </c>
      <c r="O67" s="155">
        <v>0.14</v>
      </c>
      <c r="P67" s="155">
        <v>0.19</v>
      </c>
      <c r="Q67" s="155">
        <v>0.15</v>
      </c>
      <c r="R67" s="155">
        <v>0.22</v>
      </c>
      <c r="S67" s="154">
        <v>92.0</v>
      </c>
      <c r="T67" s="154">
        <v>92.0</v>
      </c>
      <c r="U67" s="154">
        <v>105.0</v>
      </c>
      <c r="V67" s="154">
        <v>105.0</v>
      </c>
      <c r="W67" s="154">
        <v>49.0</v>
      </c>
      <c r="X67" s="154">
        <v>49.0</v>
      </c>
      <c r="Y67" s="154">
        <v>69.0</v>
      </c>
      <c r="Z67" s="154">
        <v>40.0</v>
      </c>
    </row>
    <row r="68" ht="22.5" customHeight="1">
      <c r="A68" s="154" t="s">
        <v>1078</v>
      </c>
      <c r="B68" s="154">
        <v>1.0</v>
      </c>
      <c r="C68" s="154">
        <v>9.0</v>
      </c>
      <c r="D68" s="154">
        <v>2.0</v>
      </c>
      <c r="E68" s="154">
        <v>6.0</v>
      </c>
      <c r="F68" s="154">
        <v>9.0</v>
      </c>
      <c r="G68" s="154">
        <v>4.0</v>
      </c>
      <c r="H68" s="154">
        <v>1.0</v>
      </c>
      <c r="I68" s="154">
        <v>2.0</v>
      </c>
      <c r="J68" s="154">
        <v>10.0</v>
      </c>
      <c r="K68" s="155">
        <v>0.24</v>
      </c>
      <c r="L68" s="155">
        <v>0.25</v>
      </c>
      <c r="M68" s="155">
        <v>0.24</v>
      </c>
      <c r="N68" s="155">
        <v>0.15</v>
      </c>
      <c r="O68" s="155">
        <v>0.14</v>
      </c>
      <c r="P68" s="155">
        <v>0.24</v>
      </c>
      <c r="Q68" s="155">
        <v>0.15</v>
      </c>
      <c r="R68" s="155">
        <v>0.17</v>
      </c>
      <c r="S68" s="154">
        <v>102.0</v>
      </c>
      <c r="T68" s="154">
        <v>102.0</v>
      </c>
      <c r="U68" s="154">
        <v>95.0</v>
      </c>
      <c r="V68" s="154">
        <v>95.0</v>
      </c>
      <c r="W68" s="154">
        <v>49.0</v>
      </c>
      <c r="X68" s="154">
        <v>49.0</v>
      </c>
      <c r="Y68" s="154">
        <v>59.0</v>
      </c>
      <c r="Z68" s="154">
        <v>120.0</v>
      </c>
    </row>
    <row r="69" ht="22.5" customHeight="1">
      <c r="A69" s="154" t="s">
        <v>1078</v>
      </c>
      <c r="B69" s="154">
        <v>2.0</v>
      </c>
      <c r="C69" s="154">
        <v>18.0</v>
      </c>
      <c r="D69" s="154">
        <v>3.0</v>
      </c>
      <c r="E69" s="154">
        <v>12.0</v>
      </c>
      <c r="F69" s="154">
        <v>25.0</v>
      </c>
      <c r="G69" s="154">
        <v>6.0</v>
      </c>
      <c r="H69" s="154">
        <v>2.0</v>
      </c>
      <c r="I69" s="154">
        <v>4.0</v>
      </c>
      <c r="J69" s="154">
        <v>10.0</v>
      </c>
      <c r="K69" s="155">
        <v>0.24</v>
      </c>
      <c r="L69" s="155">
        <v>0.25</v>
      </c>
      <c r="M69" s="155">
        <v>0.24</v>
      </c>
      <c r="N69" s="155">
        <v>0.15</v>
      </c>
      <c r="O69" s="155">
        <v>0.14</v>
      </c>
      <c r="P69" s="155">
        <v>0.24</v>
      </c>
      <c r="Q69" s="155">
        <v>0.15</v>
      </c>
      <c r="R69" s="155">
        <v>0.17</v>
      </c>
      <c r="S69" s="154">
        <v>102.0</v>
      </c>
      <c r="T69" s="154">
        <v>102.0</v>
      </c>
      <c r="U69" s="154">
        <v>95.0</v>
      </c>
      <c r="V69" s="154">
        <v>95.0</v>
      </c>
      <c r="W69" s="154">
        <v>49.0</v>
      </c>
      <c r="X69" s="154">
        <v>49.0</v>
      </c>
      <c r="Y69" s="154">
        <v>59.0</v>
      </c>
      <c r="Z69" s="154">
        <v>120.0</v>
      </c>
    </row>
    <row r="70" ht="22.5" customHeight="1">
      <c r="A70" s="154" t="s">
        <v>1078</v>
      </c>
      <c r="B70" s="154">
        <v>3.0</v>
      </c>
      <c r="C70" s="154">
        <v>21.0</v>
      </c>
      <c r="D70" s="154">
        <v>3.0</v>
      </c>
      <c r="E70" s="154">
        <v>13.0</v>
      </c>
      <c r="F70" s="154">
        <v>28.0</v>
      </c>
      <c r="G70" s="154">
        <v>7.0</v>
      </c>
      <c r="H70" s="154">
        <v>2.0</v>
      </c>
      <c r="I70" s="154">
        <v>4.0</v>
      </c>
      <c r="J70" s="154">
        <v>10.0</v>
      </c>
      <c r="K70" s="155">
        <v>0.24</v>
      </c>
      <c r="L70" s="155">
        <v>0.25</v>
      </c>
      <c r="M70" s="155">
        <v>0.24</v>
      </c>
      <c r="N70" s="155">
        <v>0.15</v>
      </c>
      <c r="O70" s="155">
        <v>0.14</v>
      </c>
      <c r="P70" s="155">
        <v>0.24</v>
      </c>
      <c r="Q70" s="155">
        <v>0.15</v>
      </c>
      <c r="R70" s="155">
        <v>0.17</v>
      </c>
      <c r="S70" s="154">
        <v>102.0</v>
      </c>
      <c r="T70" s="154">
        <v>102.0</v>
      </c>
      <c r="U70" s="154">
        <v>95.0</v>
      </c>
      <c r="V70" s="154">
        <v>95.0</v>
      </c>
      <c r="W70" s="154">
        <v>49.0</v>
      </c>
      <c r="X70" s="154">
        <v>49.0</v>
      </c>
      <c r="Y70" s="154">
        <v>59.0</v>
      </c>
      <c r="Z70" s="154">
        <v>120.0</v>
      </c>
    </row>
    <row r="71" ht="22.5" customHeight="1">
      <c r="A71" s="154" t="s">
        <v>1078</v>
      </c>
      <c r="B71" s="154">
        <v>4.0</v>
      </c>
      <c r="C71" s="154">
        <v>24.0</v>
      </c>
      <c r="D71" s="154">
        <v>4.0</v>
      </c>
      <c r="E71" s="154">
        <v>15.0</v>
      </c>
      <c r="F71" s="154">
        <v>32.0</v>
      </c>
      <c r="G71" s="154">
        <v>8.0</v>
      </c>
      <c r="H71" s="154">
        <v>2.0</v>
      </c>
      <c r="I71" s="154">
        <v>5.0</v>
      </c>
      <c r="J71" s="154">
        <v>10.0</v>
      </c>
      <c r="K71" s="155">
        <v>0.24</v>
      </c>
      <c r="L71" s="155">
        <v>0.25</v>
      </c>
      <c r="M71" s="155">
        <v>0.24</v>
      </c>
      <c r="N71" s="155">
        <v>0.15</v>
      </c>
      <c r="O71" s="155">
        <v>0.14</v>
      </c>
      <c r="P71" s="155">
        <v>0.24</v>
      </c>
      <c r="Q71" s="155">
        <v>0.15</v>
      </c>
      <c r="R71" s="155">
        <v>0.17</v>
      </c>
      <c r="S71" s="154">
        <v>102.0</v>
      </c>
      <c r="T71" s="154">
        <v>102.0</v>
      </c>
      <c r="U71" s="154">
        <v>95.0</v>
      </c>
      <c r="V71" s="154">
        <v>95.0</v>
      </c>
      <c r="W71" s="154">
        <v>49.0</v>
      </c>
      <c r="X71" s="154">
        <v>49.0</v>
      </c>
      <c r="Y71" s="154">
        <v>59.0</v>
      </c>
      <c r="Z71" s="154">
        <v>120.0</v>
      </c>
    </row>
    <row r="72" ht="22.5" customHeight="1">
      <c r="A72" s="154" t="s">
        <v>1078</v>
      </c>
      <c r="B72" s="154">
        <v>5.0</v>
      </c>
      <c r="C72" s="154">
        <v>27.0</v>
      </c>
      <c r="D72" s="154">
        <v>4.0</v>
      </c>
      <c r="E72" s="154">
        <v>17.0</v>
      </c>
      <c r="F72" s="154">
        <v>35.0</v>
      </c>
      <c r="G72" s="154">
        <v>9.0</v>
      </c>
      <c r="H72" s="154">
        <v>2.0</v>
      </c>
      <c r="I72" s="154">
        <v>5.0</v>
      </c>
      <c r="J72" s="154">
        <v>10.0</v>
      </c>
      <c r="K72" s="155">
        <v>0.24</v>
      </c>
      <c r="L72" s="155">
        <v>0.25</v>
      </c>
      <c r="M72" s="155">
        <v>0.24</v>
      </c>
      <c r="N72" s="155">
        <v>0.15</v>
      </c>
      <c r="O72" s="155">
        <v>0.14</v>
      </c>
      <c r="P72" s="155">
        <v>0.24</v>
      </c>
      <c r="Q72" s="155">
        <v>0.15</v>
      </c>
      <c r="R72" s="155">
        <v>0.17</v>
      </c>
      <c r="S72" s="154">
        <v>102.0</v>
      </c>
      <c r="T72" s="154">
        <v>102.0</v>
      </c>
      <c r="U72" s="154">
        <v>95.0</v>
      </c>
      <c r="V72" s="154">
        <v>95.0</v>
      </c>
      <c r="W72" s="154">
        <v>49.0</v>
      </c>
      <c r="X72" s="154">
        <v>49.0</v>
      </c>
      <c r="Y72" s="154">
        <v>59.0</v>
      </c>
      <c r="Z72" s="154">
        <v>120.0</v>
      </c>
    </row>
    <row r="73" ht="22.5" customHeight="1">
      <c r="A73" s="154" t="s">
        <v>1078</v>
      </c>
      <c r="B73" s="154">
        <v>6.0</v>
      </c>
      <c r="C73" s="154">
        <v>30.0</v>
      </c>
      <c r="D73" s="154">
        <v>5.0</v>
      </c>
      <c r="E73" s="154">
        <v>19.0</v>
      </c>
      <c r="F73" s="154">
        <v>39.0</v>
      </c>
      <c r="G73" s="154">
        <v>10.0</v>
      </c>
      <c r="H73" s="154">
        <v>2.0</v>
      </c>
      <c r="I73" s="154">
        <v>6.0</v>
      </c>
      <c r="J73" s="154">
        <v>10.0</v>
      </c>
      <c r="K73" s="155">
        <v>0.24</v>
      </c>
      <c r="L73" s="155">
        <v>0.25</v>
      </c>
      <c r="M73" s="155">
        <v>0.24</v>
      </c>
      <c r="N73" s="155">
        <v>0.15</v>
      </c>
      <c r="O73" s="155">
        <v>0.14</v>
      </c>
      <c r="P73" s="155">
        <v>0.24</v>
      </c>
      <c r="Q73" s="155">
        <v>0.15</v>
      </c>
      <c r="R73" s="155">
        <v>0.17</v>
      </c>
      <c r="S73" s="154">
        <v>102.0</v>
      </c>
      <c r="T73" s="154">
        <v>102.0</v>
      </c>
      <c r="U73" s="154">
        <v>95.0</v>
      </c>
      <c r="V73" s="154">
        <v>95.0</v>
      </c>
      <c r="W73" s="154">
        <v>49.0</v>
      </c>
      <c r="X73" s="154">
        <v>49.0</v>
      </c>
      <c r="Y73" s="154">
        <v>59.0</v>
      </c>
      <c r="Z73" s="154">
        <v>120.0</v>
      </c>
    </row>
    <row r="74" ht="22.5" customHeight="1">
      <c r="A74" s="154" t="s">
        <v>1078</v>
      </c>
      <c r="B74" s="154">
        <v>7.0</v>
      </c>
      <c r="C74" s="154">
        <v>34.0</v>
      </c>
      <c r="D74" s="154">
        <v>5.0</v>
      </c>
      <c r="E74" s="154">
        <v>21.0</v>
      </c>
      <c r="F74" s="154">
        <v>42.0</v>
      </c>
      <c r="G74" s="154">
        <v>11.0</v>
      </c>
      <c r="H74" s="154">
        <v>2.0</v>
      </c>
      <c r="I74" s="154">
        <v>7.0</v>
      </c>
      <c r="J74" s="154">
        <v>10.0</v>
      </c>
      <c r="K74" s="155">
        <v>0.24</v>
      </c>
      <c r="L74" s="155">
        <v>0.25</v>
      </c>
      <c r="M74" s="155">
        <v>0.24</v>
      </c>
      <c r="N74" s="155">
        <v>0.15</v>
      </c>
      <c r="O74" s="155">
        <v>0.14</v>
      </c>
      <c r="P74" s="155">
        <v>0.24</v>
      </c>
      <c r="Q74" s="155">
        <v>0.15</v>
      </c>
      <c r="R74" s="155">
        <v>0.17</v>
      </c>
      <c r="S74" s="154">
        <v>102.0</v>
      </c>
      <c r="T74" s="154">
        <v>102.0</v>
      </c>
      <c r="U74" s="154">
        <v>95.0</v>
      </c>
      <c r="V74" s="154">
        <v>95.0</v>
      </c>
      <c r="W74" s="154">
        <v>49.0</v>
      </c>
      <c r="X74" s="154">
        <v>49.0</v>
      </c>
      <c r="Y74" s="154">
        <v>59.0</v>
      </c>
      <c r="Z74" s="154">
        <v>120.0</v>
      </c>
    </row>
    <row r="75" ht="22.5" customHeight="1">
      <c r="A75" s="154" t="s">
        <v>1078</v>
      </c>
      <c r="B75" s="154">
        <v>8.0</v>
      </c>
      <c r="C75" s="154">
        <v>37.0</v>
      </c>
      <c r="D75" s="154">
        <v>6.0</v>
      </c>
      <c r="E75" s="154">
        <v>23.0</v>
      </c>
      <c r="F75" s="154">
        <v>46.0</v>
      </c>
      <c r="G75" s="154">
        <v>12.0</v>
      </c>
      <c r="H75" s="154">
        <v>2.0</v>
      </c>
      <c r="I75" s="154">
        <v>7.0</v>
      </c>
      <c r="J75" s="154">
        <v>10.0</v>
      </c>
      <c r="K75" s="155">
        <v>0.24</v>
      </c>
      <c r="L75" s="155">
        <v>0.25</v>
      </c>
      <c r="M75" s="155">
        <v>0.24</v>
      </c>
      <c r="N75" s="155">
        <v>0.15</v>
      </c>
      <c r="O75" s="155">
        <v>0.14</v>
      </c>
      <c r="P75" s="155">
        <v>0.24</v>
      </c>
      <c r="Q75" s="155">
        <v>0.15</v>
      </c>
      <c r="R75" s="155">
        <v>0.17</v>
      </c>
      <c r="S75" s="154">
        <v>102.0</v>
      </c>
      <c r="T75" s="154">
        <v>102.0</v>
      </c>
      <c r="U75" s="154">
        <v>95.0</v>
      </c>
      <c r="V75" s="154">
        <v>95.0</v>
      </c>
      <c r="W75" s="154">
        <v>49.0</v>
      </c>
      <c r="X75" s="154">
        <v>49.0</v>
      </c>
      <c r="Y75" s="154">
        <v>59.0</v>
      </c>
      <c r="Z75" s="154">
        <v>120.0</v>
      </c>
    </row>
    <row r="76" ht="22.5" customHeight="1">
      <c r="A76" s="154" t="s">
        <v>1078</v>
      </c>
      <c r="B76" s="156">
        <v>9.0</v>
      </c>
      <c r="C76" s="154">
        <v>40.0</v>
      </c>
      <c r="D76" s="154">
        <v>6.0</v>
      </c>
      <c r="E76" s="154">
        <v>25.0</v>
      </c>
      <c r="F76" s="154">
        <v>49.0</v>
      </c>
      <c r="G76" s="154">
        <v>13.0</v>
      </c>
      <c r="H76" s="154">
        <v>2.0</v>
      </c>
      <c r="I76" s="154">
        <v>8.0</v>
      </c>
      <c r="J76" s="154">
        <v>10.0</v>
      </c>
      <c r="K76" s="155">
        <v>0.24</v>
      </c>
      <c r="L76" s="155">
        <v>0.25</v>
      </c>
      <c r="M76" s="155">
        <v>0.24</v>
      </c>
      <c r="N76" s="155">
        <v>0.15</v>
      </c>
      <c r="O76" s="155">
        <v>0.14</v>
      </c>
      <c r="P76" s="155">
        <v>0.24</v>
      </c>
      <c r="Q76" s="155">
        <v>0.15</v>
      </c>
      <c r="R76" s="155">
        <v>0.17</v>
      </c>
      <c r="S76" s="154">
        <v>102.0</v>
      </c>
      <c r="T76" s="154">
        <v>102.0</v>
      </c>
      <c r="U76" s="154">
        <v>95.0</v>
      </c>
      <c r="V76" s="154">
        <v>95.0</v>
      </c>
      <c r="W76" s="154">
        <v>49.0</v>
      </c>
      <c r="X76" s="154">
        <v>49.0</v>
      </c>
      <c r="Y76" s="154">
        <v>59.0</v>
      </c>
      <c r="Z76" s="154">
        <v>120.0</v>
      </c>
    </row>
    <row r="77" ht="22.5" customHeight="1">
      <c r="A77" s="154" t="s">
        <v>1078</v>
      </c>
      <c r="B77" s="156">
        <v>10.0</v>
      </c>
      <c r="C77" s="154">
        <v>43.0</v>
      </c>
      <c r="D77" s="154">
        <v>7.0</v>
      </c>
      <c r="E77" s="154">
        <v>27.0</v>
      </c>
      <c r="F77" s="154">
        <v>53.0</v>
      </c>
      <c r="G77" s="154">
        <v>14.0</v>
      </c>
      <c r="H77" s="154">
        <v>2.0</v>
      </c>
      <c r="I77" s="154">
        <v>8.0</v>
      </c>
      <c r="J77" s="154">
        <v>10.0</v>
      </c>
      <c r="K77" s="155">
        <v>0.24</v>
      </c>
      <c r="L77" s="155">
        <v>0.25</v>
      </c>
      <c r="M77" s="155">
        <v>0.24</v>
      </c>
      <c r="N77" s="155">
        <v>0.15</v>
      </c>
      <c r="O77" s="155">
        <v>0.14</v>
      </c>
      <c r="P77" s="155">
        <v>0.24</v>
      </c>
      <c r="Q77" s="155">
        <v>0.15</v>
      </c>
      <c r="R77" s="155">
        <v>0.17</v>
      </c>
      <c r="S77" s="154">
        <v>102.0</v>
      </c>
      <c r="T77" s="154">
        <v>102.0</v>
      </c>
      <c r="U77" s="154">
        <v>95.0</v>
      </c>
      <c r="V77" s="154">
        <v>95.0</v>
      </c>
      <c r="W77" s="154">
        <v>49.0</v>
      </c>
      <c r="X77" s="154">
        <v>49.0</v>
      </c>
      <c r="Y77" s="154">
        <v>59.0</v>
      </c>
      <c r="Z77" s="154">
        <v>120.0</v>
      </c>
    </row>
    <row r="78" ht="22.5" customHeight="1">
      <c r="A78" s="154" t="s">
        <v>1078</v>
      </c>
      <c r="B78" s="154">
        <v>11.0</v>
      </c>
      <c r="C78" s="154">
        <v>46.0</v>
      </c>
      <c r="D78" s="154">
        <v>7.0</v>
      </c>
      <c r="E78" s="154">
        <v>29.0</v>
      </c>
      <c r="F78" s="154">
        <v>56.0</v>
      </c>
      <c r="G78" s="154">
        <v>15.0</v>
      </c>
      <c r="H78" s="154">
        <v>2.0</v>
      </c>
      <c r="I78" s="154">
        <v>9.0</v>
      </c>
      <c r="J78" s="154">
        <v>10.0</v>
      </c>
      <c r="K78" s="155">
        <v>0.24</v>
      </c>
      <c r="L78" s="155">
        <v>0.25</v>
      </c>
      <c r="M78" s="155">
        <v>0.24</v>
      </c>
      <c r="N78" s="155">
        <v>0.15</v>
      </c>
      <c r="O78" s="155">
        <v>0.14</v>
      </c>
      <c r="P78" s="155">
        <v>0.24</v>
      </c>
      <c r="Q78" s="155">
        <v>0.15</v>
      </c>
      <c r="R78" s="155">
        <v>0.17</v>
      </c>
      <c r="S78" s="154">
        <v>102.0</v>
      </c>
      <c r="T78" s="154">
        <v>102.0</v>
      </c>
      <c r="U78" s="154">
        <v>95.0</v>
      </c>
      <c r="V78" s="154">
        <v>95.0</v>
      </c>
      <c r="W78" s="154">
        <v>49.0</v>
      </c>
      <c r="X78" s="154">
        <v>49.0</v>
      </c>
      <c r="Y78" s="154">
        <v>59.0</v>
      </c>
      <c r="Z78" s="154">
        <v>120.0</v>
      </c>
    </row>
    <row r="79" ht="22.5" customHeight="1">
      <c r="A79" s="154" t="s">
        <v>1078</v>
      </c>
      <c r="B79" s="154">
        <v>12.0</v>
      </c>
      <c r="C79" s="154">
        <v>50.0</v>
      </c>
      <c r="D79" s="154">
        <v>8.0</v>
      </c>
      <c r="E79" s="154">
        <v>31.0</v>
      </c>
      <c r="F79" s="154">
        <v>60.0</v>
      </c>
      <c r="G79" s="154">
        <v>16.0</v>
      </c>
      <c r="H79" s="154">
        <v>2.0</v>
      </c>
      <c r="I79" s="154">
        <v>10.0</v>
      </c>
      <c r="J79" s="154">
        <v>10.0</v>
      </c>
      <c r="K79" s="155">
        <v>0.24</v>
      </c>
      <c r="L79" s="155">
        <v>0.25</v>
      </c>
      <c r="M79" s="155">
        <v>0.24</v>
      </c>
      <c r="N79" s="155">
        <v>0.15</v>
      </c>
      <c r="O79" s="155">
        <v>0.14</v>
      </c>
      <c r="P79" s="155">
        <v>0.24</v>
      </c>
      <c r="Q79" s="155">
        <v>0.15</v>
      </c>
      <c r="R79" s="155">
        <v>0.17</v>
      </c>
      <c r="S79" s="154">
        <v>102.0</v>
      </c>
      <c r="T79" s="154">
        <v>102.0</v>
      </c>
      <c r="U79" s="154">
        <v>95.0</v>
      </c>
      <c r="V79" s="154">
        <v>95.0</v>
      </c>
      <c r="W79" s="154">
        <v>49.0</v>
      </c>
      <c r="X79" s="154">
        <v>49.0</v>
      </c>
      <c r="Y79" s="154">
        <v>59.0</v>
      </c>
      <c r="Z79" s="154">
        <v>120.0</v>
      </c>
    </row>
    <row r="80" ht="22.5" customHeight="1">
      <c r="A80" s="154" t="s">
        <v>1078</v>
      </c>
      <c r="B80" s="154">
        <v>13.0</v>
      </c>
      <c r="C80" s="154">
        <v>52.0</v>
      </c>
      <c r="D80" s="154">
        <v>8.0</v>
      </c>
      <c r="E80" s="154">
        <v>31.0</v>
      </c>
      <c r="F80" s="154">
        <v>60.0</v>
      </c>
      <c r="G80" s="154">
        <v>16.0</v>
      </c>
      <c r="H80" s="154">
        <v>2.0</v>
      </c>
      <c r="I80" s="154">
        <v>10.0</v>
      </c>
      <c r="J80" s="154">
        <v>10.0</v>
      </c>
      <c r="K80" s="155">
        <v>0.24</v>
      </c>
      <c r="L80" s="155">
        <v>0.25</v>
      </c>
      <c r="M80" s="155">
        <v>0.24</v>
      </c>
      <c r="N80" s="155">
        <v>0.15</v>
      </c>
      <c r="O80" s="155">
        <v>0.14</v>
      </c>
      <c r="P80" s="155">
        <v>0.24</v>
      </c>
      <c r="Q80" s="155">
        <v>0.15</v>
      </c>
      <c r="R80" s="155">
        <v>0.17</v>
      </c>
      <c r="S80" s="154">
        <v>102.0</v>
      </c>
      <c r="T80" s="154">
        <v>102.0</v>
      </c>
      <c r="U80" s="154">
        <v>95.0</v>
      </c>
      <c r="V80" s="154">
        <v>95.0</v>
      </c>
      <c r="W80" s="154">
        <v>49.0</v>
      </c>
      <c r="X80" s="154">
        <v>49.0</v>
      </c>
      <c r="Y80" s="154">
        <v>59.0</v>
      </c>
      <c r="Z80" s="154">
        <v>120.0</v>
      </c>
    </row>
    <row r="81" ht="22.5" customHeight="1">
      <c r="A81" s="154" t="s">
        <v>1078</v>
      </c>
      <c r="B81" s="154">
        <v>14.0</v>
      </c>
      <c r="C81" s="154">
        <v>54.0</v>
      </c>
      <c r="D81" s="154">
        <v>9.0</v>
      </c>
      <c r="E81" s="154">
        <v>35.0</v>
      </c>
      <c r="F81" s="154">
        <v>65.0</v>
      </c>
      <c r="G81" s="154">
        <v>18.0</v>
      </c>
      <c r="H81" s="154">
        <v>2.0</v>
      </c>
      <c r="I81" s="154">
        <v>11.0</v>
      </c>
      <c r="J81" s="154">
        <v>10.0</v>
      </c>
      <c r="K81" s="155">
        <v>0.24</v>
      </c>
      <c r="L81" s="155">
        <v>0.25</v>
      </c>
      <c r="M81" s="155">
        <v>0.24</v>
      </c>
      <c r="N81" s="155">
        <v>0.15</v>
      </c>
      <c r="O81" s="155">
        <v>0.14</v>
      </c>
      <c r="P81" s="155">
        <v>0.24</v>
      </c>
      <c r="Q81" s="155">
        <v>0.15</v>
      </c>
      <c r="R81" s="155">
        <v>0.17</v>
      </c>
      <c r="S81" s="154">
        <v>102.0</v>
      </c>
      <c r="T81" s="154">
        <v>102.0</v>
      </c>
      <c r="U81" s="154">
        <v>95.0</v>
      </c>
      <c r="V81" s="154">
        <v>95.0</v>
      </c>
      <c r="W81" s="154">
        <v>49.0</v>
      </c>
      <c r="X81" s="154">
        <v>49.0</v>
      </c>
      <c r="Y81" s="154">
        <v>59.0</v>
      </c>
      <c r="Z81" s="154">
        <v>120.0</v>
      </c>
    </row>
    <row r="82" ht="22.5" customHeight="1">
      <c r="A82" s="154" t="s">
        <v>1078</v>
      </c>
      <c r="B82" s="154">
        <v>15.0</v>
      </c>
      <c r="C82" s="154">
        <v>56.0</v>
      </c>
      <c r="D82" s="154">
        <v>10.0</v>
      </c>
      <c r="E82" s="154">
        <v>37.0</v>
      </c>
      <c r="F82" s="154">
        <v>68.0</v>
      </c>
      <c r="G82" s="154">
        <v>19.0</v>
      </c>
      <c r="H82" s="154">
        <v>3.0</v>
      </c>
      <c r="I82" s="154">
        <v>12.0</v>
      </c>
      <c r="J82" s="154">
        <v>10.0</v>
      </c>
      <c r="K82" s="155">
        <v>0.24</v>
      </c>
      <c r="L82" s="155">
        <v>0.25</v>
      </c>
      <c r="M82" s="155">
        <v>0.24</v>
      </c>
      <c r="N82" s="155">
        <v>0.15</v>
      </c>
      <c r="O82" s="155">
        <v>0.14</v>
      </c>
      <c r="P82" s="155">
        <v>0.24</v>
      </c>
      <c r="Q82" s="155">
        <v>0.15</v>
      </c>
      <c r="R82" s="155">
        <v>0.17</v>
      </c>
      <c r="S82" s="154">
        <v>102.0</v>
      </c>
      <c r="T82" s="154">
        <v>102.0</v>
      </c>
      <c r="U82" s="154">
        <v>95.0</v>
      </c>
      <c r="V82" s="154">
        <v>95.0</v>
      </c>
      <c r="W82" s="154">
        <v>49.0</v>
      </c>
      <c r="X82" s="154">
        <v>49.0</v>
      </c>
      <c r="Y82" s="154">
        <v>59.0</v>
      </c>
      <c r="Z82" s="154">
        <v>120.0</v>
      </c>
    </row>
    <row r="83" ht="22.5" customHeight="1">
      <c r="A83" s="153" t="s">
        <v>1081</v>
      </c>
      <c r="B83" s="154">
        <v>13.0</v>
      </c>
      <c r="C83" s="153">
        <v>42.0</v>
      </c>
      <c r="D83" s="153">
        <v>9.0</v>
      </c>
      <c r="E83" s="153">
        <v>25.0</v>
      </c>
      <c r="F83" s="153">
        <v>23.0</v>
      </c>
      <c r="G83" s="153">
        <v>61.0</v>
      </c>
      <c r="H83" s="153">
        <v>7.0</v>
      </c>
      <c r="I83" s="153">
        <v>5.0</v>
      </c>
      <c r="J83" s="153">
        <v>28.0</v>
      </c>
      <c r="K83" s="155">
        <v>0.24</v>
      </c>
      <c r="L83" s="155">
        <v>0.25</v>
      </c>
      <c r="M83" s="155">
        <v>0.24</v>
      </c>
      <c r="N83" s="155">
        <v>0.25</v>
      </c>
      <c r="O83" s="155">
        <v>0.14</v>
      </c>
      <c r="P83" s="155">
        <v>0.19</v>
      </c>
      <c r="Q83" s="155">
        <v>0.15</v>
      </c>
      <c r="R83" s="155">
        <v>0.22</v>
      </c>
      <c r="S83" s="154">
        <v>92.0</v>
      </c>
      <c r="T83" s="154">
        <v>92.0</v>
      </c>
      <c r="U83" s="154">
        <v>105.0</v>
      </c>
      <c r="V83" s="154">
        <v>105.0</v>
      </c>
      <c r="W83" s="154">
        <v>49.0</v>
      </c>
      <c r="X83" s="154">
        <v>49.0</v>
      </c>
      <c r="Y83" s="154">
        <v>69.0</v>
      </c>
      <c r="Z83" s="154">
        <v>40.0</v>
      </c>
    </row>
    <row r="84" ht="22.5" customHeight="1">
      <c r="A84" s="154" t="s">
        <v>1079</v>
      </c>
      <c r="B84" s="154">
        <v>1.0</v>
      </c>
      <c r="C84" s="154">
        <v>6.0</v>
      </c>
      <c r="D84" s="154">
        <v>7.0</v>
      </c>
      <c r="E84" s="154">
        <v>3.0</v>
      </c>
      <c r="F84" s="154">
        <v>2.0</v>
      </c>
      <c r="G84" s="154">
        <v>2.0</v>
      </c>
      <c r="H84" s="154">
        <v>4.0</v>
      </c>
      <c r="I84" s="154">
        <v>5.0</v>
      </c>
      <c r="J84" s="154">
        <v>12.0</v>
      </c>
      <c r="K84" s="155">
        <v>0.14</v>
      </c>
      <c r="L84" s="155">
        <v>0.1</v>
      </c>
      <c r="M84" s="155">
        <v>0.14</v>
      </c>
      <c r="N84" s="155">
        <v>0.1</v>
      </c>
      <c r="O84" s="155">
        <v>0.28</v>
      </c>
      <c r="P84" s="155">
        <v>0.29</v>
      </c>
      <c r="Q84" s="155">
        <v>0.29</v>
      </c>
      <c r="R84" s="155">
        <v>0.2</v>
      </c>
      <c r="S84" s="154">
        <v>112.0</v>
      </c>
      <c r="T84" s="154">
        <v>112.0</v>
      </c>
      <c r="U84" s="154">
        <v>85.0</v>
      </c>
      <c r="V84" s="154">
        <v>85.0</v>
      </c>
      <c r="W84" s="154">
        <v>69.0</v>
      </c>
      <c r="X84" s="154">
        <v>69.0</v>
      </c>
      <c r="Y84" s="154">
        <v>69.0</v>
      </c>
      <c r="Z84" s="154">
        <v>40.0</v>
      </c>
    </row>
    <row r="85" ht="22.5" customHeight="1">
      <c r="A85" s="154" t="s">
        <v>1079</v>
      </c>
      <c r="B85" s="154">
        <v>2.0</v>
      </c>
      <c r="C85" s="154">
        <v>11.0</v>
      </c>
      <c r="D85" s="154">
        <v>11.0</v>
      </c>
      <c r="E85" s="154">
        <v>4.0</v>
      </c>
      <c r="F85" s="154">
        <v>6.0</v>
      </c>
      <c r="G85" s="154">
        <v>6.0</v>
      </c>
      <c r="H85" s="154">
        <v>7.0</v>
      </c>
      <c r="I85" s="154">
        <v>15.0</v>
      </c>
      <c r="J85" s="154">
        <v>12.0</v>
      </c>
      <c r="K85" s="155">
        <v>0.14</v>
      </c>
      <c r="L85" s="155">
        <v>0.1</v>
      </c>
      <c r="M85" s="155">
        <v>0.14</v>
      </c>
      <c r="N85" s="155">
        <v>0.1</v>
      </c>
      <c r="O85" s="155">
        <v>0.28</v>
      </c>
      <c r="P85" s="155">
        <v>0.29</v>
      </c>
      <c r="Q85" s="155">
        <v>0.29</v>
      </c>
      <c r="R85" s="155">
        <v>0.2</v>
      </c>
      <c r="S85" s="154">
        <v>112.0</v>
      </c>
      <c r="T85" s="154">
        <v>112.0</v>
      </c>
      <c r="U85" s="154">
        <v>85.0</v>
      </c>
      <c r="V85" s="154">
        <v>85.0</v>
      </c>
      <c r="W85" s="154">
        <v>69.0</v>
      </c>
      <c r="X85" s="154">
        <v>69.0</v>
      </c>
      <c r="Y85" s="154">
        <v>69.0</v>
      </c>
      <c r="Z85" s="154">
        <v>40.0</v>
      </c>
    </row>
    <row r="86" ht="22.5" customHeight="1">
      <c r="A86" s="154" t="s">
        <v>1079</v>
      </c>
      <c r="B86" s="154">
        <v>3.0</v>
      </c>
      <c r="C86" s="154">
        <v>13.0</v>
      </c>
      <c r="D86" s="154">
        <v>12.0</v>
      </c>
      <c r="E86" s="154">
        <v>5.0</v>
      </c>
      <c r="F86" s="154">
        <v>7.0</v>
      </c>
      <c r="G86" s="154">
        <v>7.0</v>
      </c>
      <c r="H86" s="154">
        <v>9.0</v>
      </c>
      <c r="I86" s="154">
        <v>18.0</v>
      </c>
      <c r="J86" s="154">
        <v>12.0</v>
      </c>
      <c r="K86" s="155">
        <v>0.14</v>
      </c>
      <c r="L86" s="155">
        <v>0.1</v>
      </c>
      <c r="M86" s="155">
        <v>0.14</v>
      </c>
      <c r="N86" s="155">
        <v>0.1</v>
      </c>
      <c r="O86" s="155">
        <v>0.28</v>
      </c>
      <c r="P86" s="155">
        <v>0.29</v>
      </c>
      <c r="Q86" s="155">
        <v>0.29</v>
      </c>
      <c r="R86" s="155">
        <v>0.2</v>
      </c>
      <c r="S86" s="154">
        <v>112.0</v>
      </c>
      <c r="T86" s="154">
        <v>112.0</v>
      </c>
      <c r="U86" s="154">
        <v>85.0</v>
      </c>
      <c r="V86" s="154">
        <v>85.0</v>
      </c>
      <c r="W86" s="154">
        <v>69.0</v>
      </c>
      <c r="X86" s="154">
        <v>69.0</v>
      </c>
      <c r="Y86" s="154">
        <v>69.0</v>
      </c>
      <c r="Z86" s="154">
        <v>40.0</v>
      </c>
    </row>
    <row r="87" ht="22.5" customHeight="1">
      <c r="A87" s="154" t="s">
        <v>1079</v>
      </c>
      <c r="B87" s="154">
        <v>4.0</v>
      </c>
      <c r="C87" s="154">
        <v>15.0</v>
      </c>
      <c r="D87" s="154">
        <v>14.0</v>
      </c>
      <c r="E87" s="154">
        <v>6.0</v>
      </c>
      <c r="F87" s="154">
        <v>8.0</v>
      </c>
      <c r="G87" s="154">
        <v>8.0</v>
      </c>
      <c r="H87" s="154">
        <v>11.0</v>
      </c>
      <c r="I87" s="154">
        <v>21.0</v>
      </c>
      <c r="J87" s="154">
        <v>12.0</v>
      </c>
      <c r="K87" s="155">
        <v>0.14</v>
      </c>
      <c r="L87" s="155">
        <v>0.1</v>
      </c>
      <c r="M87" s="155">
        <v>0.14</v>
      </c>
      <c r="N87" s="155">
        <v>0.1</v>
      </c>
      <c r="O87" s="155">
        <v>0.28</v>
      </c>
      <c r="P87" s="155">
        <v>0.29</v>
      </c>
      <c r="Q87" s="155">
        <v>0.29</v>
      </c>
      <c r="R87" s="155">
        <v>0.2</v>
      </c>
      <c r="S87" s="154">
        <v>112.0</v>
      </c>
      <c r="T87" s="154">
        <v>112.0</v>
      </c>
      <c r="U87" s="154">
        <v>85.0</v>
      </c>
      <c r="V87" s="154">
        <v>85.0</v>
      </c>
      <c r="W87" s="154">
        <v>69.0</v>
      </c>
      <c r="X87" s="154">
        <v>69.0</v>
      </c>
      <c r="Y87" s="154">
        <v>69.0</v>
      </c>
      <c r="Z87" s="154">
        <v>40.0</v>
      </c>
    </row>
    <row r="88" ht="22.5" customHeight="1">
      <c r="A88" s="154" t="s">
        <v>1079</v>
      </c>
      <c r="B88" s="154">
        <v>5.0</v>
      </c>
      <c r="C88" s="154">
        <v>17.0</v>
      </c>
      <c r="D88" s="154">
        <v>16.0</v>
      </c>
      <c r="E88" s="154">
        <v>8.0</v>
      </c>
      <c r="F88" s="154">
        <v>9.0</v>
      </c>
      <c r="G88" s="154">
        <v>9.0</v>
      </c>
      <c r="H88" s="154">
        <v>13.0</v>
      </c>
      <c r="I88" s="154">
        <v>24.0</v>
      </c>
      <c r="J88" s="154">
        <v>12.0</v>
      </c>
      <c r="K88" s="155">
        <v>0.14</v>
      </c>
      <c r="L88" s="155">
        <v>0.1</v>
      </c>
      <c r="M88" s="155">
        <v>0.14</v>
      </c>
      <c r="N88" s="155">
        <v>0.1</v>
      </c>
      <c r="O88" s="155">
        <v>0.28</v>
      </c>
      <c r="P88" s="155">
        <v>0.29</v>
      </c>
      <c r="Q88" s="155">
        <v>0.29</v>
      </c>
      <c r="R88" s="155">
        <v>0.2</v>
      </c>
      <c r="S88" s="154">
        <v>112.0</v>
      </c>
      <c r="T88" s="154">
        <v>112.0</v>
      </c>
      <c r="U88" s="154">
        <v>85.0</v>
      </c>
      <c r="V88" s="154">
        <v>85.0</v>
      </c>
      <c r="W88" s="154">
        <v>69.0</v>
      </c>
      <c r="X88" s="154">
        <v>69.0</v>
      </c>
      <c r="Y88" s="154">
        <v>69.0</v>
      </c>
      <c r="Z88" s="154">
        <v>40.0</v>
      </c>
    </row>
    <row r="89" ht="22.5" customHeight="1">
      <c r="A89" s="154" t="s">
        <v>1079</v>
      </c>
      <c r="B89" s="154">
        <v>6.0</v>
      </c>
      <c r="C89" s="154">
        <v>19.0</v>
      </c>
      <c r="D89" s="154">
        <v>17.0</v>
      </c>
      <c r="E89" s="154">
        <v>9.0</v>
      </c>
      <c r="F89" s="154">
        <v>10.0</v>
      </c>
      <c r="G89" s="154">
        <v>10.0</v>
      </c>
      <c r="H89" s="154">
        <v>15.0</v>
      </c>
      <c r="I89" s="154">
        <v>27.0</v>
      </c>
      <c r="J89" s="154">
        <v>12.0</v>
      </c>
      <c r="K89" s="155">
        <v>0.14</v>
      </c>
      <c r="L89" s="155">
        <v>0.1</v>
      </c>
      <c r="M89" s="155">
        <v>0.14</v>
      </c>
      <c r="N89" s="155">
        <v>0.1</v>
      </c>
      <c r="O89" s="155">
        <v>0.28</v>
      </c>
      <c r="P89" s="155">
        <v>0.29</v>
      </c>
      <c r="Q89" s="155">
        <v>0.29</v>
      </c>
      <c r="R89" s="155">
        <v>0.2</v>
      </c>
      <c r="S89" s="154">
        <v>112.0</v>
      </c>
      <c r="T89" s="154">
        <v>112.0</v>
      </c>
      <c r="U89" s="154">
        <v>85.0</v>
      </c>
      <c r="V89" s="154">
        <v>85.0</v>
      </c>
      <c r="W89" s="154">
        <v>69.0</v>
      </c>
      <c r="X89" s="154">
        <v>69.0</v>
      </c>
      <c r="Y89" s="154">
        <v>69.0</v>
      </c>
      <c r="Z89" s="154">
        <v>40.0</v>
      </c>
    </row>
    <row r="90" ht="22.5" customHeight="1">
      <c r="A90" s="154" t="s">
        <v>1079</v>
      </c>
      <c r="B90" s="154">
        <v>7.0</v>
      </c>
      <c r="C90" s="154">
        <v>21.0</v>
      </c>
      <c r="D90" s="154">
        <v>19.0</v>
      </c>
      <c r="E90" s="154">
        <v>11.0</v>
      </c>
      <c r="F90" s="154">
        <v>12.0</v>
      </c>
      <c r="G90" s="154">
        <v>12.0</v>
      </c>
      <c r="H90" s="154">
        <v>17.0</v>
      </c>
      <c r="I90" s="154">
        <v>30.0</v>
      </c>
      <c r="J90" s="154">
        <v>12.0</v>
      </c>
      <c r="K90" s="155">
        <v>0.14</v>
      </c>
      <c r="L90" s="155">
        <v>0.1</v>
      </c>
      <c r="M90" s="155">
        <v>0.14</v>
      </c>
      <c r="N90" s="155">
        <v>0.1</v>
      </c>
      <c r="O90" s="155">
        <v>0.28</v>
      </c>
      <c r="P90" s="155">
        <v>0.29</v>
      </c>
      <c r="Q90" s="155">
        <v>0.29</v>
      </c>
      <c r="R90" s="155">
        <v>0.2</v>
      </c>
      <c r="S90" s="154">
        <v>112.0</v>
      </c>
      <c r="T90" s="154">
        <v>112.0</v>
      </c>
      <c r="U90" s="154">
        <v>85.0</v>
      </c>
      <c r="V90" s="154">
        <v>85.0</v>
      </c>
      <c r="W90" s="154">
        <v>69.0</v>
      </c>
      <c r="X90" s="154">
        <v>69.0</v>
      </c>
      <c r="Y90" s="154">
        <v>69.0</v>
      </c>
      <c r="Z90" s="154">
        <v>40.0</v>
      </c>
    </row>
    <row r="91" ht="22.5" customHeight="1">
      <c r="A91" s="154" t="s">
        <v>1079</v>
      </c>
      <c r="B91" s="154">
        <v>8.0</v>
      </c>
      <c r="C91" s="154">
        <v>23.0</v>
      </c>
      <c r="D91" s="154">
        <v>21.0</v>
      </c>
      <c r="E91" s="154">
        <v>12.0</v>
      </c>
      <c r="F91" s="154">
        <v>13.0</v>
      </c>
      <c r="G91" s="154">
        <v>13.0</v>
      </c>
      <c r="H91" s="154">
        <v>19.0</v>
      </c>
      <c r="I91" s="154">
        <v>33.0</v>
      </c>
      <c r="J91" s="154">
        <v>12.0</v>
      </c>
      <c r="K91" s="155">
        <v>0.14</v>
      </c>
      <c r="L91" s="155">
        <v>0.1</v>
      </c>
      <c r="M91" s="155">
        <v>0.14</v>
      </c>
      <c r="N91" s="155">
        <v>0.1</v>
      </c>
      <c r="O91" s="155">
        <v>0.28</v>
      </c>
      <c r="P91" s="155">
        <v>0.29</v>
      </c>
      <c r="Q91" s="155">
        <v>0.29</v>
      </c>
      <c r="R91" s="155">
        <v>0.2</v>
      </c>
      <c r="S91" s="154">
        <v>112.0</v>
      </c>
      <c r="T91" s="154">
        <v>112.0</v>
      </c>
      <c r="U91" s="154">
        <v>85.0</v>
      </c>
      <c r="V91" s="154">
        <v>85.0</v>
      </c>
      <c r="W91" s="154">
        <v>69.0</v>
      </c>
      <c r="X91" s="154">
        <v>69.0</v>
      </c>
      <c r="Y91" s="154">
        <v>69.0</v>
      </c>
      <c r="Z91" s="154">
        <v>40.0</v>
      </c>
    </row>
    <row r="92" ht="22.5" customHeight="1">
      <c r="A92" s="154" t="s">
        <v>1079</v>
      </c>
      <c r="B92" s="156">
        <v>9.0</v>
      </c>
      <c r="C92" s="154">
        <v>25.0</v>
      </c>
      <c r="D92" s="154">
        <v>22.0</v>
      </c>
      <c r="E92" s="154">
        <v>13.0</v>
      </c>
      <c r="F92" s="154">
        <v>14.0</v>
      </c>
      <c r="G92" s="154">
        <v>14.0</v>
      </c>
      <c r="H92" s="154">
        <v>21.0</v>
      </c>
      <c r="I92" s="154">
        <v>36.0</v>
      </c>
      <c r="J92" s="154">
        <v>12.0</v>
      </c>
      <c r="K92" s="155">
        <v>0.14</v>
      </c>
      <c r="L92" s="155">
        <v>0.1</v>
      </c>
      <c r="M92" s="155">
        <v>0.14</v>
      </c>
      <c r="N92" s="155">
        <v>0.1</v>
      </c>
      <c r="O92" s="155">
        <v>0.28</v>
      </c>
      <c r="P92" s="155">
        <v>0.29</v>
      </c>
      <c r="Q92" s="155">
        <v>0.29</v>
      </c>
      <c r="R92" s="155">
        <v>0.2</v>
      </c>
      <c r="S92" s="154">
        <v>112.0</v>
      </c>
      <c r="T92" s="154">
        <v>112.0</v>
      </c>
      <c r="U92" s="154">
        <v>85.0</v>
      </c>
      <c r="V92" s="154">
        <v>85.0</v>
      </c>
      <c r="W92" s="154">
        <v>69.0</v>
      </c>
      <c r="X92" s="154">
        <v>69.0</v>
      </c>
      <c r="Y92" s="154">
        <v>69.0</v>
      </c>
      <c r="Z92" s="154">
        <v>40.0</v>
      </c>
    </row>
    <row r="93" ht="22.5" customHeight="1">
      <c r="A93" s="154" t="s">
        <v>1079</v>
      </c>
      <c r="B93" s="156">
        <v>10.0</v>
      </c>
      <c r="C93" s="154">
        <v>27.0</v>
      </c>
      <c r="D93" s="154">
        <v>24.0</v>
      </c>
      <c r="E93" s="154">
        <v>15.0</v>
      </c>
      <c r="F93" s="154">
        <v>15.0</v>
      </c>
      <c r="G93" s="154">
        <v>15.0</v>
      </c>
      <c r="H93" s="154">
        <v>23.0</v>
      </c>
      <c r="I93" s="154">
        <v>39.0</v>
      </c>
      <c r="J93" s="154">
        <v>12.0</v>
      </c>
      <c r="K93" s="155">
        <v>0.14</v>
      </c>
      <c r="L93" s="155">
        <v>0.1</v>
      </c>
      <c r="M93" s="155">
        <v>0.14</v>
      </c>
      <c r="N93" s="155">
        <v>0.1</v>
      </c>
      <c r="O93" s="155">
        <v>0.28</v>
      </c>
      <c r="P93" s="155">
        <v>0.29</v>
      </c>
      <c r="Q93" s="155">
        <v>0.29</v>
      </c>
      <c r="R93" s="155">
        <v>0.2</v>
      </c>
      <c r="S93" s="154">
        <v>112.0</v>
      </c>
      <c r="T93" s="154">
        <v>112.0</v>
      </c>
      <c r="U93" s="154">
        <v>85.0</v>
      </c>
      <c r="V93" s="154">
        <v>85.0</v>
      </c>
      <c r="W93" s="154">
        <v>69.0</v>
      </c>
      <c r="X93" s="154">
        <v>69.0</v>
      </c>
      <c r="Y93" s="154">
        <v>69.0</v>
      </c>
      <c r="Z93" s="154">
        <v>40.0</v>
      </c>
    </row>
    <row r="94" ht="22.5" customHeight="1">
      <c r="A94" s="154" t="s">
        <v>1079</v>
      </c>
      <c r="B94" s="154">
        <v>11.0</v>
      </c>
      <c r="C94" s="154">
        <v>29.0</v>
      </c>
      <c r="D94" s="154">
        <v>26.0</v>
      </c>
      <c r="E94" s="154">
        <v>16.0</v>
      </c>
      <c r="F94" s="154">
        <v>16.0</v>
      </c>
      <c r="G94" s="154">
        <v>16.0</v>
      </c>
      <c r="H94" s="154">
        <v>25.0</v>
      </c>
      <c r="I94" s="154">
        <v>42.0</v>
      </c>
      <c r="J94" s="154">
        <v>12.0</v>
      </c>
      <c r="K94" s="155">
        <v>0.14</v>
      </c>
      <c r="L94" s="155">
        <v>0.1</v>
      </c>
      <c r="M94" s="155">
        <v>0.14</v>
      </c>
      <c r="N94" s="155">
        <v>0.1</v>
      </c>
      <c r="O94" s="155">
        <v>0.28</v>
      </c>
      <c r="P94" s="155">
        <v>0.29</v>
      </c>
      <c r="Q94" s="155">
        <v>0.29</v>
      </c>
      <c r="R94" s="155">
        <v>0.2</v>
      </c>
      <c r="S94" s="154">
        <v>112.0</v>
      </c>
      <c r="T94" s="154">
        <v>112.0</v>
      </c>
      <c r="U94" s="154">
        <v>85.0</v>
      </c>
      <c r="V94" s="154">
        <v>85.0</v>
      </c>
      <c r="W94" s="154">
        <v>69.0</v>
      </c>
      <c r="X94" s="154">
        <v>69.0</v>
      </c>
      <c r="Y94" s="154">
        <v>69.0</v>
      </c>
      <c r="Z94" s="154">
        <v>40.0</v>
      </c>
    </row>
    <row r="95" ht="22.5" customHeight="1">
      <c r="A95" s="154" t="s">
        <v>1079</v>
      </c>
      <c r="B95" s="154">
        <v>12.0</v>
      </c>
      <c r="C95" s="154">
        <v>32.0</v>
      </c>
      <c r="D95" s="154">
        <v>28.0</v>
      </c>
      <c r="E95" s="154">
        <v>18.0</v>
      </c>
      <c r="F95" s="154">
        <v>18.0</v>
      </c>
      <c r="G95" s="154">
        <v>18.0</v>
      </c>
      <c r="H95" s="154">
        <v>27.0</v>
      </c>
      <c r="I95" s="154">
        <v>45.0</v>
      </c>
      <c r="J95" s="154">
        <v>12.0</v>
      </c>
      <c r="K95" s="155">
        <v>0.14</v>
      </c>
      <c r="L95" s="155">
        <v>0.1</v>
      </c>
      <c r="M95" s="155">
        <v>0.14</v>
      </c>
      <c r="N95" s="155">
        <v>0.1</v>
      </c>
      <c r="O95" s="155">
        <v>0.28</v>
      </c>
      <c r="P95" s="155">
        <v>0.29</v>
      </c>
      <c r="Q95" s="155">
        <v>0.29</v>
      </c>
      <c r="R95" s="155">
        <v>0.2</v>
      </c>
      <c r="S95" s="154">
        <v>112.0</v>
      </c>
      <c r="T95" s="154">
        <v>112.0</v>
      </c>
      <c r="U95" s="154">
        <v>85.0</v>
      </c>
      <c r="V95" s="154">
        <v>85.0</v>
      </c>
      <c r="W95" s="154">
        <v>69.0</v>
      </c>
      <c r="X95" s="154">
        <v>69.0</v>
      </c>
      <c r="Y95" s="154">
        <v>69.0</v>
      </c>
      <c r="Z95" s="154">
        <v>40.0</v>
      </c>
    </row>
    <row r="96" ht="22.5" customHeight="1">
      <c r="A96" s="154" t="s">
        <v>1079</v>
      </c>
      <c r="B96" s="154">
        <v>13.0</v>
      </c>
      <c r="C96" s="154">
        <v>33.0</v>
      </c>
      <c r="D96" s="154">
        <v>29.0</v>
      </c>
      <c r="E96" s="154">
        <v>19.0</v>
      </c>
      <c r="F96" s="154">
        <v>19.0</v>
      </c>
      <c r="G96" s="154">
        <v>19.0</v>
      </c>
      <c r="H96" s="154">
        <v>28.0</v>
      </c>
      <c r="I96" s="154">
        <v>47.0</v>
      </c>
      <c r="J96" s="154">
        <v>12.0</v>
      </c>
      <c r="K96" s="155">
        <v>0.14</v>
      </c>
      <c r="L96" s="155">
        <v>0.1</v>
      </c>
      <c r="M96" s="155">
        <v>0.14</v>
      </c>
      <c r="N96" s="155">
        <v>0.1</v>
      </c>
      <c r="O96" s="155">
        <v>0.28</v>
      </c>
      <c r="P96" s="155">
        <v>0.29</v>
      </c>
      <c r="Q96" s="155">
        <v>0.29</v>
      </c>
      <c r="R96" s="155">
        <v>0.2</v>
      </c>
      <c r="S96" s="154">
        <v>112.0</v>
      </c>
      <c r="T96" s="154">
        <v>112.0</v>
      </c>
      <c r="U96" s="154">
        <v>85.0</v>
      </c>
      <c r="V96" s="154">
        <v>85.0</v>
      </c>
      <c r="W96" s="154">
        <v>69.0</v>
      </c>
      <c r="X96" s="154">
        <v>69.0</v>
      </c>
      <c r="Y96" s="154">
        <v>69.0</v>
      </c>
      <c r="Z96" s="154">
        <v>40.0</v>
      </c>
    </row>
    <row r="97" ht="22.5" customHeight="1">
      <c r="A97" s="154" t="s">
        <v>1079</v>
      </c>
      <c r="B97" s="154">
        <v>14.0</v>
      </c>
      <c r="C97" s="154">
        <v>34.0</v>
      </c>
      <c r="D97" s="154">
        <v>30.0</v>
      </c>
      <c r="E97" s="154">
        <v>20.0</v>
      </c>
      <c r="F97" s="154">
        <v>20.0</v>
      </c>
      <c r="G97" s="154">
        <v>20.0</v>
      </c>
      <c r="H97" s="154">
        <v>29.0</v>
      </c>
      <c r="I97" s="154">
        <v>49.0</v>
      </c>
      <c r="J97" s="154">
        <v>12.0</v>
      </c>
      <c r="K97" s="155">
        <v>0.14</v>
      </c>
      <c r="L97" s="155">
        <v>0.1</v>
      </c>
      <c r="M97" s="155">
        <v>0.14</v>
      </c>
      <c r="N97" s="155">
        <v>0.1</v>
      </c>
      <c r="O97" s="155">
        <v>0.28</v>
      </c>
      <c r="P97" s="155">
        <v>0.29</v>
      </c>
      <c r="Q97" s="155">
        <v>0.29</v>
      </c>
      <c r="R97" s="155">
        <v>0.2</v>
      </c>
      <c r="S97" s="154">
        <v>112.0</v>
      </c>
      <c r="T97" s="154">
        <v>112.0</v>
      </c>
      <c r="U97" s="154">
        <v>85.0</v>
      </c>
      <c r="V97" s="154">
        <v>85.0</v>
      </c>
      <c r="W97" s="154">
        <v>69.0</v>
      </c>
      <c r="X97" s="154">
        <v>69.0</v>
      </c>
      <c r="Y97" s="154">
        <v>69.0</v>
      </c>
      <c r="Z97" s="154">
        <v>40.0</v>
      </c>
    </row>
    <row r="98" ht="22.5" customHeight="1">
      <c r="A98" s="154" t="s">
        <v>1079</v>
      </c>
      <c r="B98" s="154">
        <v>15.0</v>
      </c>
      <c r="C98" s="154">
        <v>35.0</v>
      </c>
      <c r="D98" s="154">
        <v>31.0</v>
      </c>
      <c r="E98" s="154">
        <v>21.0</v>
      </c>
      <c r="F98" s="154">
        <v>21.0</v>
      </c>
      <c r="G98" s="154">
        <v>21.0</v>
      </c>
      <c r="H98" s="154">
        <v>30.0</v>
      </c>
      <c r="I98" s="154">
        <v>51.0</v>
      </c>
      <c r="J98" s="154">
        <v>12.0</v>
      </c>
      <c r="K98" s="155">
        <v>0.14</v>
      </c>
      <c r="L98" s="155">
        <v>0.1</v>
      </c>
      <c r="M98" s="155">
        <v>0.14</v>
      </c>
      <c r="N98" s="155">
        <v>0.1</v>
      </c>
      <c r="O98" s="155">
        <v>0.28</v>
      </c>
      <c r="P98" s="155">
        <v>0.29</v>
      </c>
      <c r="Q98" s="155">
        <v>0.29</v>
      </c>
      <c r="R98" s="155">
        <v>0.2</v>
      </c>
      <c r="S98" s="154">
        <v>112.0</v>
      </c>
      <c r="T98" s="154">
        <v>112.0</v>
      </c>
      <c r="U98" s="154">
        <v>85.0</v>
      </c>
      <c r="V98" s="154">
        <v>85.0</v>
      </c>
      <c r="W98" s="154">
        <v>69.0</v>
      </c>
      <c r="X98" s="154">
        <v>69.0</v>
      </c>
      <c r="Y98" s="154">
        <v>69.0</v>
      </c>
      <c r="Z98" s="154">
        <v>40.0</v>
      </c>
    </row>
    <row r="99" ht="22.5" customHeight="1">
      <c r="A99" s="153" t="s">
        <v>1081</v>
      </c>
      <c r="B99" s="154">
        <v>14.0</v>
      </c>
      <c r="C99" s="153">
        <v>44.0</v>
      </c>
      <c r="D99" s="153">
        <v>10.0</v>
      </c>
      <c r="E99" s="153">
        <v>26.0</v>
      </c>
      <c r="F99" s="153">
        <v>24.0</v>
      </c>
      <c r="G99" s="153">
        <v>62.0</v>
      </c>
      <c r="H99" s="153">
        <v>7.0</v>
      </c>
      <c r="I99" s="153">
        <v>5.0</v>
      </c>
      <c r="J99" s="153">
        <v>28.0</v>
      </c>
      <c r="K99" s="155">
        <v>0.24</v>
      </c>
      <c r="L99" s="155">
        <v>0.25</v>
      </c>
      <c r="M99" s="155">
        <v>0.24</v>
      </c>
      <c r="N99" s="155">
        <v>0.25</v>
      </c>
      <c r="O99" s="155">
        <v>0.14</v>
      </c>
      <c r="P99" s="155">
        <v>0.19</v>
      </c>
      <c r="Q99" s="155">
        <v>0.15</v>
      </c>
      <c r="R99" s="155">
        <v>0.22</v>
      </c>
      <c r="S99" s="154">
        <v>92.0</v>
      </c>
      <c r="T99" s="154">
        <v>92.0</v>
      </c>
      <c r="U99" s="154">
        <v>105.0</v>
      </c>
      <c r="V99" s="154">
        <v>105.0</v>
      </c>
      <c r="W99" s="154">
        <v>49.0</v>
      </c>
      <c r="X99" s="154">
        <v>49.0</v>
      </c>
      <c r="Y99" s="154">
        <v>69.0</v>
      </c>
      <c r="Z99" s="154">
        <v>40.0</v>
      </c>
    </row>
    <row r="100" ht="22.5" customHeight="1">
      <c r="A100" s="154" t="s">
        <v>1080</v>
      </c>
      <c r="B100" s="154">
        <v>1.0</v>
      </c>
      <c r="C100" s="154">
        <v>6.0</v>
      </c>
      <c r="D100" s="154">
        <v>7.0</v>
      </c>
      <c r="E100" s="154">
        <v>3.0</v>
      </c>
      <c r="F100" s="154">
        <v>1.0</v>
      </c>
      <c r="G100" s="154">
        <v>2.0</v>
      </c>
      <c r="H100" s="154">
        <v>5.0</v>
      </c>
      <c r="I100" s="154">
        <v>5.0</v>
      </c>
      <c r="J100" s="154">
        <v>10.0</v>
      </c>
      <c r="K100" s="155">
        <v>0.14</v>
      </c>
      <c r="L100" s="155">
        <v>0.1</v>
      </c>
      <c r="M100" s="155">
        <v>0.14</v>
      </c>
      <c r="N100" s="155">
        <v>0.1</v>
      </c>
      <c r="O100" s="155">
        <v>0.29</v>
      </c>
      <c r="P100" s="155">
        <v>0.24</v>
      </c>
      <c r="Q100" s="155">
        <v>0.25</v>
      </c>
      <c r="R100" s="155">
        <v>0.25</v>
      </c>
      <c r="S100" s="154">
        <v>112.0</v>
      </c>
      <c r="T100" s="154">
        <v>112.0</v>
      </c>
      <c r="U100" s="154">
        <v>85.0</v>
      </c>
      <c r="V100" s="154">
        <v>85.0</v>
      </c>
      <c r="W100" s="154">
        <v>69.0</v>
      </c>
      <c r="X100" s="154">
        <v>69.0</v>
      </c>
      <c r="Y100" s="154">
        <v>59.0</v>
      </c>
      <c r="Z100" s="154">
        <v>40.0</v>
      </c>
    </row>
    <row r="101" ht="22.5" customHeight="1">
      <c r="A101" s="154" t="s">
        <v>1080</v>
      </c>
      <c r="B101" s="154">
        <v>2.0</v>
      </c>
      <c r="C101" s="154">
        <v>10.0</v>
      </c>
      <c r="D101" s="154">
        <v>11.0</v>
      </c>
      <c r="E101" s="154">
        <v>5.0</v>
      </c>
      <c r="F101" s="154">
        <v>2.0</v>
      </c>
      <c r="G101" s="154">
        <v>4.0</v>
      </c>
      <c r="H101" s="154">
        <v>15.0</v>
      </c>
      <c r="I101" s="154">
        <v>15.0</v>
      </c>
      <c r="J101" s="154">
        <v>10.0</v>
      </c>
      <c r="K101" s="155">
        <v>0.14</v>
      </c>
      <c r="L101" s="155">
        <v>0.1</v>
      </c>
      <c r="M101" s="155">
        <v>0.14</v>
      </c>
      <c r="N101" s="155">
        <v>0.1</v>
      </c>
      <c r="O101" s="155">
        <v>0.29</v>
      </c>
      <c r="P101" s="155">
        <v>0.24</v>
      </c>
      <c r="Q101" s="155">
        <v>0.25</v>
      </c>
      <c r="R101" s="155">
        <v>0.25</v>
      </c>
      <c r="S101" s="154">
        <v>112.0</v>
      </c>
      <c r="T101" s="154">
        <v>112.0</v>
      </c>
      <c r="U101" s="154">
        <v>85.0</v>
      </c>
      <c r="V101" s="154">
        <v>85.0</v>
      </c>
      <c r="W101" s="154">
        <v>69.0</v>
      </c>
      <c r="X101" s="154">
        <v>69.0</v>
      </c>
      <c r="Y101" s="154">
        <v>59.0</v>
      </c>
      <c r="Z101" s="154">
        <v>40.0</v>
      </c>
    </row>
    <row r="102" ht="22.5" customHeight="1">
      <c r="A102" s="154" t="s">
        <v>1080</v>
      </c>
      <c r="B102" s="154">
        <v>3.0</v>
      </c>
      <c r="C102" s="154">
        <v>12.0</v>
      </c>
      <c r="D102" s="154">
        <v>12.0</v>
      </c>
      <c r="E102" s="154">
        <v>6.0</v>
      </c>
      <c r="F102" s="154">
        <v>2.0</v>
      </c>
      <c r="G102" s="154">
        <v>5.0</v>
      </c>
      <c r="H102" s="154">
        <v>18.0</v>
      </c>
      <c r="I102" s="154">
        <v>18.0</v>
      </c>
      <c r="J102" s="154">
        <v>10.0</v>
      </c>
      <c r="K102" s="155">
        <v>0.14</v>
      </c>
      <c r="L102" s="155">
        <v>0.1</v>
      </c>
      <c r="M102" s="155">
        <v>0.14</v>
      </c>
      <c r="N102" s="155">
        <v>0.1</v>
      </c>
      <c r="O102" s="155">
        <v>0.29</v>
      </c>
      <c r="P102" s="155">
        <v>0.24</v>
      </c>
      <c r="Q102" s="155">
        <v>0.25</v>
      </c>
      <c r="R102" s="155">
        <v>0.25</v>
      </c>
      <c r="S102" s="154">
        <v>112.0</v>
      </c>
      <c r="T102" s="154">
        <v>112.0</v>
      </c>
      <c r="U102" s="154">
        <v>85.0</v>
      </c>
      <c r="V102" s="154">
        <v>85.0</v>
      </c>
      <c r="W102" s="154">
        <v>69.0</v>
      </c>
      <c r="X102" s="154">
        <v>69.0</v>
      </c>
      <c r="Y102" s="154">
        <v>59.0</v>
      </c>
      <c r="Z102" s="154">
        <v>40.0</v>
      </c>
    </row>
    <row r="103" ht="22.5" customHeight="1">
      <c r="A103" s="154" t="s">
        <v>1080</v>
      </c>
      <c r="B103" s="154">
        <v>4.0</v>
      </c>
      <c r="C103" s="154">
        <v>14.0</v>
      </c>
      <c r="D103" s="154">
        <v>14.0</v>
      </c>
      <c r="E103" s="154">
        <v>8.0</v>
      </c>
      <c r="F103" s="154">
        <v>3.0</v>
      </c>
      <c r="G103" s="154">
        <v>6.0</v>
      </c>
      <c r="H103" s="154">
        <v>21.0</v>
      </c>
      <c r="I103" s="154">
        <v>21.0</v>
      </c>
      <c r="J103" s="154">
        <v>10.0</v>
      </c>
      <c r="K103" s="155">
        <v>0.14</v>
      </c>
      <c r="L103" s="155">
        <v>0.1</v>
      </c>
      <c r="M103" s="155">
        <v>0.14</v>
      </c>
      <c r="N103" s="155">
        <v>0.1</v>
      </c>
      <c r="O103" s="155">
        <v>0.29</v>
      </c>
      <c r="P103" s="155">
        <v>0.24</v>
      </c>
      <c r="Q103" s="155">
        <v>0.25</v>
      </c>
      <c r="R103" s="155">
        <v>0.25</v>
      </c>
      <c r="S103" s="154">
        <v>112.0</v>
      </c>
      <c r="T103" s="154">
        <v>112.0</v>
      </c>
      <c r="U103" s="154">
        <v>85.0</v>
      </c>
      <c r="V103" s="154">
        <v>85.0</v>
      </c>
      <c r="W103" s="154">
        <v>69.0</v>
      </c>
      <c r="X103" s="154">
        <v>69.0</v>
      </c>
      <c r="Y103" s="154">
        <v>59.0</v>
      </c>
      <c r="Z103" s="154">
        <v>40.0</v>
      </c>
    </row>
    <row r="104" ht="22.5" customHeight="1">
      <c r="A104" s="154" t="s">
        <v>1080</v>
      </c>
      <c r="B104" s="154">
        <v>5.0</v>
      </c>
      <c r="C104" s="154">
        <v>16.0</v>
      </c>
      <c r="D104" s="154">
        <v>15.0</v>
      </c>
      <c r="E104" s="154">
        <v>9.0</v>
      </c>
      <c r="F104" s="154">
        <v>4.0</v>
      </c>
      <c r="G104" s="154">
        <v>7.0</v>
      </c>
      <c r="H104" s="154">
        <v>24.0</v>
      </c>
      <c r="I104" s="154">
        <v>24.0</v>
      </c>
      <c r="J104" s="154">
        <v>10.0</v>
      </c>
      <c r="K104" s="155">
        <v>0.14</v>
      </c>
      <c r="L104" s="155">
        <v>0.1</v>
      </c>
      <c r="M104" s="155">
        <v>0.14</v>
      </c>
      <c r="N104" s="155">
        <v>0.1</v>
      </c>
      <c r="O104" s="155">
        <v>0.29</v>
      </c>
      <c r="P104" s="155">
        <v>0.24</v>
      </c>
      <c r="Q104" s="155">
        <v>0.25</v>
      </c>
      <c r="R104" s="155">
        <v>0.25</v>
      </c>
      <c r="S104" s="154">
        <v>112.0</v>
      </c>
      <c r="T104" s="154">
        <v>112.0</v>
      </c>
      <c r="U104" s="154">
        <v>85.0</v>
      </c>
      <c r="V104" s="154">
        <v>85.0</v>
      </c>
      <c r="W104" s="154">
        <v>69.0</v>
      </c>
      <c r="X104" s="154">
        <v>69.0</v>
      </c>
      <c r="Y104" s="154">
        <v>59.0</v>
      </c>
      <c r="Z104" s="154">
        <v>40.0</v>
      </c>
    </row>
    <row r="105" ht="22.5" customHeight="1">
      <c r="A105" s="154" t="s">
        <v>1080</v>
      </c>
      <c r="B105" s="154">
        <v>6.0</v>
      </c>
      <c r="C105" s="154">
        <v>18.0</v>
      </c>
      <c r="D105" s="154">
        <v>17.0</v>
      </c>
      <c r="E105" s="154">
        <v>11.0</v>
      </c>
      <c r="F105" s="154">
        <v>4.0</v>
      </c>
      <c r="G105" s="154">
        <v>8.0</v>
      </c>
      <c r="H105" s="154">
        <v>27.0</v>
      </c>
      <c r="I105" s="154">
        <v>27.0</v>
      </c>
      <c r="J105" s="154">
        <v>10.0</v>
      </c>
      <c r="K105" s="155">
        <v>0.14</v>
      </c>
      <c r="L105" s="155">
        <v>0.1</v>
      </c>
      <c r="M105" s="155">
        <v>0.14</v>
      </c>
      <c r="N105" s="155">
        <v>0.1</v>
      </c>
      <c r="O105" s="155">
        <v>0.29</v>
      </c>
      <c r="P105" s="155">
        <v>0.24</v>
      </c>
      <c r="Q105" s="155">
        <v>0.25</v>
      </c>
      <c r="R105" s="155">
        <v>0.25</v>
      </c>
      <c r="S105" s="154">
        <v>112.0</v>
      </c>
      <c r="T105" s="154">
        <v>112.0</v>
      </c>
      <c r="U105" s="154">
        <v>85.0</v>
      </c>
      <c r="V105" s="154">
        <v>85.0</v>
      </c>
      <c r="W105" s="154">
        <v>69.0</v>
      </c>
      <c r="X105" s="154">
        <v>69.0</v>
      </c>
      <c r="Y105" s="154">
        <v>59.0</v>
      </c>
      <c r="Z105" s="154">
        <v>40.0</v>
      </c>
    </row>
    <row r="106" ht="22.5" customHeight="1">
      <c r="A106" s="154" t="s">
        <v>1080</v>
      </c>
      <c r="B106" s="154">
        <v>7.0</v>
      </c>
      <c r="C106" s="154">
        <v>20.0</v>
      </c>
      <c r="D106" s="154">
        <v>19.0</v>
      </c>
      <c r="E106" s="154">
        <v>12.0</v>
      </c>
      <c r="F106" s="154">
        <v>5.0</v>
      </c>
      <c r="G106" s="154">
        <v>10.0</v>
      </c>
      <c r="H106" s="154">
        <v>30.0</v>
      </c>
      <c r="I106" s="154">
        <v>30.0</v>
      </c>
      <c r="J106" s="154">
        <v>10.0</v>
      </c>
      <c r="K106" s="155">
        <v>0.14</v>
      </c>
      <c r="L106" s="155">
        <v>0.1</v>
      </c>
      <c r="M106" s="155">
        <v>0.14</v>
      </c>
      <c r="N106" s="155">
        <v>0.1</v>
      </c>
      <c r="O106" s="155">
        <v>0.29</v>
      </c>
      <c r="P106" s="155">
        <v>0.24</v>
      </c>
      <c r="Q106" s="155">
        <v>0.25</v>
      </c>
      <c r="R106" s="155">
        <v>0.25</v>
      </c>
      <c r="S106" s="154">
        <v>112.0</v>
      </c>
      <c r="T106" s="154">
        <v>112.0</v>
      </c>
      <c r="U106" s="154">
        <v>85.0</v>
      </c>
      <c r="V106" s="154">
        <v>85.0</v>
      </c>
      <c r="W106" s="154">
        <v>69.0</v>
      </c>
      <c r="X106" s="154">
        <v>69.0</v>
      </c>
      <c r="Y106" s="154">
        <v>59.0</v>
      </c>
      <c r="Z106" s="154">
        <v>40.0</v>
      </c>
    </row>
    <row r="107" ht="22.5" customHeight="1">
      <c r="A107" s="154" t="s">
        <v>1080</v>
      </c>
      <c r="B107" s="154">
        <v>8.0</v>
      </c>
      <c r="C107" s="154">
        <v>22.0</v>
      </c>
      <c r="D107" s="154">
        <v>20.0</v>
      </c>
      <c r="E107" s="154">
        <v>14.0</v>
      </c>
      <c r="F107" s="154">
        <v>6.0</v>
      </c>
      <c r="G107" s="154">
        <v>11.0</v>
      </c>
      <c r="H107" s="154">
        <v>33.0</v>
      </c>
      <c r="I107" s="154">
        <v>33.0</v>
      </c>
      <c r="J107" s="154">
        <v>10.0</v>
      </c>
      <c r="K107" s="155">
        <v>0.14</v>
      </c>
      <c r="L107" s="155">
        <v>0.1</v>
      </c>
      <c r="M107" s="155">
        <v>0.14</v>
      </c>
      <c r="N107" s="155">
        <v>0.1</v>
      </c>
      <c r="O107" s="155">
        <v>0.29</v>
      </c>
      <c r="P107" s="155">
        <v>0.24</v>
      </c>
      <c r="Q107" s="155">
        <v>0.25</v>
      </c>
      <c r="R107" s="155">
        <v>0.25</v>
      </c>
      <c r="S107" s="154">
        <v>112.0</v>
      </c>
      <c r="T107" s="154">
        <v>112.0</v>
      </c>
      <c r="U107" s="154">
        <v>85.0</v>
      </c>
      <c r="V107" s="154">
        <v>85.0</v>
      </c>
      <c r="W107" s="154">
        <v>69.0</v>
      </c>
      <c r="X107" s="154">
        <v>69.0</v>
      </c>
      <c r="Y107" s="154">
        <v>59.0</v>
      </c>
      <c r="Z107" s="154">
        <v>40.0</v>
      </c>
    </row>
    <row r="108" ht="22.5" customHeight="1">
      <c r="A108" s="154" t="s">
        <v>1080</v>
      </c>
      <c r="B108" s="156">
        <v>9.0</v>
      </c>
      <c r="C108" s="154">
        <v>24.0</v>
      </c>
      <c r="D108" s="154">
        <v>22.0</v>
      </c>
      <c r="E108" s="154">
        <v>15.0</v>
      </c>
      <c r="F108" s="154">
        <v>6.0</v>
      </c>
      <c r="G108" s="154">
        <v>12.0</v>
      </c>
      <c r="H108" s="154">
        <v>36.0</v>
      </c>
      <c r="I108" s="154">
        <v>36.0</v>
      </c>
      <c r="J108" s="154">
        <v>10.0</v>
      </c>
      <c r="K108" s="155">
        <v>0.14</v>
      </c>
      <c r="L108" s="155">
        <v>0.1</v>
      </c>
      <c r="M108" s="155">
        <v>0.14</v>
      </c>
      <c r="N108" s="155">
        <v>0.1</v>
      </c>
      <c r="O108" s="155">
        <v>0.29</v>
      </c>
      <c r="P108" s="155">
        <v>0.24</v>
      </c>
      <c r="Q108" s="155">
        <v>0.25</v>
      </c>
      <c r="R108" s="155">
        <v>0.25</v>
      </c>
      <c r="S108" s="154">
        <v>112.0</v>
      </c>
      <c r="T108" s="154">
        <v>112.0</v>
      </c>
      <c r="U108" s="154">
        <v>85.0</v>
      </c>
      <c r="V108" s="154">
        <v>85.0</v>
      </c>
      <c r="W108" s="154">
        <v>69.0</v>
      </c>
      <c r="X108" s="154">
        <v>69.0</v>
      </c>
      <c r="Y108" s="154">
        <v>59.0</v>
      </c>
      <c r="Z108" s="154">
        <v>40.0</v>
      </c>
    </row>
    <row r="109" ht="22.5" customHeight="1">
      <c r="A109" s="154" t="s">
        <v>1080</v>
      </c>
      <c r="B109" s="156">
        <v>10.0</v>
      </c>
      <c r="C109" s="154">
        <v>26.0</v>
      </c>
      <c r="D109" s="154">
        <v>23.0</v>
      </c>
      <c r="E109" s="154">
        <v>17.0</v>
      </c>
      <c r="F109" s="154">
        <v>7.0</v>
      </c>
      <c r="G109" s="154">
        <v>13.0</v>
      </c>
      <c r="H109" s="154">
        <v>39.0</v>
      </c>
      <c r="I109" s="154">
        <v>39.0</v>
      </c>
      <c r="J109" s="154">
        <v>10.0</v>
      </c>
      <c r="K109" s="155">
        <v>0.14</v>
      </c>
      <c r="L109" s="155">
        <v>0.1</v>
      </c>
      <c r="M109" s="155">
        <v>0.14</v>
      </c>
      <c r="N109" s="155">
        <v>0.1</v>
      </c>
      <c r="O109" s="155">
        <v>0.29</v>
      </c>
      <c r="P109" s="155">
        <v>0.24</v>
      </c>
      <c r="Q109" s="155">
        <v>0.25</v>
      </c>
      <c r="R109" s="155">
        <v>0.25</v>
      </c>
      <c r="S109" s="154">
        <v>112.0</v>
      </c>
      <c r="T109" s="154">
        <v>112.0</v>
      </c>
      <c r="U109" s="154">
        <v>85.0</v>
      </c>
      <c r="V109" s="154">
        <v>85.0</v>
      </c>
      <c r="W109" s="154">
        <v>69.0</v>
      </c>
      <c r="X109" s="154">
        <v>69.0</v>
      </c>
      <c r="Y109" s="154">
        <v>59.0</v>
      </c>
      <c r="Z109" s="154">
        <v>40.0</v>
      </c>
    </row>
    <row r="110" ht="22.5" customHeight="1">
      <c r="A110" s="154" t="s">
        <v>1080</v>
      </c>
      <c r="B110" s="154">
        <v>11.0</v>
      </c>
      <c r="C110" s="154">
        <v>28.0</v>
      </c>
      <c r="D110" s="154">
        <v>25.0</v>
      </c>
      <c r="E110" s="154">
        <v>18.0</v>
      </c>
      <c r="F110" s="154">
        <v>8.0</v>
      </c>
      <c r="G110" s="154">
        <v>14.0</v>
      </c>
      <c r="H110" s="154">
        <v>42.0</v>
      </c>
      <c r="I110" s="154">
        <v>42.0</v>
      </c>
      <c r="J110" s="154">
        <v>10.0</v>
      </c>
      <c r="K110" s="155">
        <v>0.14</v>
      </c>
      <c r="L110" s="155">
        <v>0.1</v>
      </c>
      <c r="M110" s="155">
        <v>0.14</v>
      </c>
      <c r="N110" s="155">
        <v>0.1</v>
      </c>
      <c r="O110" s="155">
        <v>0.29</v>
      </c>
      <c r="P110" s="155">
        <v>0.24</v>
      </c>
      <c r="Q110" s="155">
        <v>0.25</v>
      </c>
      <c r="R110" s="155">
        <v>0.25</v>
      </c>
      <c r="S110" s="154">
        <v>112.0</v>
      </c>
      <c r="T110" s="154">
        <v>112.0</v>
      </c>
      <c r="U110" s="154">
        <v>85.0</v>
      </c>
      <c r="V110" s="154">
        <v>85.0</v>
      </c>
      <c r="W110" s="154">
        <v>69.0</v>
      </c>
      <c r="X110" s="154">
        <v>69.0</v>
      </c>
      <c r="Y110" s="154">
        <v>59.0</v>
      </c>
      <c r="Z110" s="154">
        <v>40.0</v>
      </c>
    </row>
    <row r="111" ht="22.5" customHeight="1">
      <c r="A111" s="154" t="s">
        <v>1080</v>
      </c>
      <c r="B111" s="154">
        <v>12.0</v>
      </c>
      <c r="C111" s="154">
        <v>30.0</v>
      </c>
      <c r="D111" s="154">
        <v>27.0</v>
      </c>
      <c r="E111" s="154">
        <v>20.0</v>
      </c>
      <c r="F111" s="154">
        <v>9.0</v>
      </c>
      <c r="G111" s="154">
        <v>16.0</v>
      </c>
      <c r="H111" s="154">
        <v>45.0</v>
      </c>
      <c r="I111" s="154">
        <v>45.0</v>
      </c>
      <c r="J111" s="154">
        <v>10.0</v>
      </c>
      <c r="K111" s="155">
        <v>0.14</v>
      </c>
      <c r="L111" s="155">
        <v>0.1</v>
      </c>
      <c r="M111" s="155">
        <v>0.14</v>
      </c>
      <c r="N111" s="155">
        <v>0.1</v>
      </c>
      <c r="O111" s="155">
        <v>0.29</v>
      </c>
      <c r="P111" s="155">
        <v>0.24</v>
      </c>
      <c r="Q111" s="155">
        <v>0.25</v>
      </c>
      <c r="R111" s="155">
        <v>0.25</v>
      </c>
      <c r="S111" s="154">
        <v>112.0</v>
      </c>
      <c r="T111" s="154">
        <v>112.0</v>
      </c>
      <c r="U111" s="154">
        <v>85.0</v>
      </c>
      <c r="V111" s="154">
        <v>85.0</v>
      </c>
      <c r="W111" s="154">
        <v>69.0</v>
      </c>
      <c r="X111" s="154">
        <v>69.0</v>
      </c>
      <c r="Y111" s="154">
        <v>59.0</v>
      </c>
      <c r="Z111" s="154">
        <v>40.0</v>
      </c>
    </row>
    <row r="112" ht="22.5" customHeight="1">
      <c r="A112" s="154" t="s">
        <v>1080</v>
      </c>
      <c r="B112" s="154">
        <v>13.0</v>
      </c>
      <c r="C112" s="154">
        <v>31.0</v>
      </c>
      <c r="D112" s="154">
        <v>28.0</v>
      </c>
      <c r="E112" s="154">
        <v>21.0</v>
      </c>
      <c r="F112" s="154">
        <v>10.0</v>
      </c>
      <c r="G112" s="154">
        <v>17.0</v>
      </c>
      <c r="H112" s="154">
        <v>47.0</v>
      </c>
      <c r="I112" s="154">
        <v>47.0</v>
      </c>
      <c r="J112" s="154">
        <v>10.0</v>
      </c>
      <c r="K112" s="155">
        <v>0.14</v>
      </c>
      <c r="L112" s="155">
        <v>0.1</v>
      </c>
      <c r="M112" s="155">
        <v>0.14</v>
      </c>
      <c r="N112" s="155">
        <v>0.1</v>
      </c>
      <c r="O112" s="155">
        <v>0.29</v>
      </c>
      <c r="P112" s="155">
        <v>0.24</v>
      </c>
      <c r="Q112" s="155">
        <v>0.25</v>
      </c>
      <c r="R112" s="155">
        <v>0.25</v>
      </c>
      <c r="S112" s="154">
        <v>112.0</v>
      </c>
      <c r="T112" s="154">
        <v>112.0</v>
      </c>
      <c r="U112" s="154">
        <v>85.0</v>
      </c>
      <c r="V112" s="154">
        <v>85.0</v>
      </c>
      <c r="W112" s="154">
        <v>69.0</v>
      </c>
      <c r="X112" s="154">
        <v>69.0</v>
      </c>
      <c r="Y112" s="154">
        <v>59.0</v>
      </c>
      <c r="Z112" s="154">
        <v>40.0</v>
      </c>
    </row>
    <row r="113" ht="22.5" customHeight="1">
      <c r="A113" s="154" t="s">
        <v>1080</v>
      </c>
      <c r="B113" s="154">
        <v>14.0</v>
      </c>
      <c r="C113" s="154">
        <v>32.0</v>
      </c>
      <c r="D113" s="154">
        <v>29.0</v>
      </c>
      <c r="E113" s="154">
        <v>22.0</v>
      </c>
      <c r="F113" s="154">
        <v>11.0</v>
      </c>
      <c r="G113" s="154">
        <v>18.0</v>
      </c>
      <c r="H113" s="154">
        <v>49.0</v>
      </c>
      <c r="I113" s="154">
        <v>49.0</v>
      </c>
      <c r="J113" s="154">
        <v>10.0</v>
      </c>
      <c r="K113" s="155">
        <v>0.14</v>
      </c>
      <c r="L113" s="155">
        <v>0.1</v>
      </c>
      <c r="M113" s="155">
        <v>0.14</v>
      </c>
      <c r="N113" s="155">
        <v>0.1</v>
      </c>
      <c r="O113" s="155">
        <v>0.29</v>
      </c>
      <c r="P113" s="155">
        <v>0.24</v>
      </c>
      <c r="Q113" s="155">
        <v>0.25</v>
      </c>
      <c r="R113" s="155">
        <v>0.25</v>
      </c>
      <c r="S113" s="154">
        <v>112.0</v>
      </c>
      <c r="T113" s="154">
        <v>112.0</v>
      </c>
      <c r="U113" s="154">
        <v>85.0</v>
      </c>
      <c r="V113" s="154">
        <v>85.0</v>
      </c>
      <c r="W113" s="154">
        <v>69.0</v>
      </c>
      <c r="X113" s="154">
        <v>69.0</v>
      </c>
      <c r="Y113" s="154">
        <v>59.0</v>
      </c>
      <c r="Z113" s="154">
        <v>40.0</v>
      </c>
    </row>
    <row r="114" ht="22.5" customHeight="1">
      <c r="A114" s="154" t="s">
        <v>1080</v>
      </c>
      <c r="B114" s="154">
        <v>15.0</v>
      </c>
      <c r="C114" s="154">
        <v>33.0</v>
      </c>
      <c r="D114" s="154">
        <v>30.0</v>
      </c>
      <c r="E114" s="154">
        <v>23.0</v>
      </c>
      <c r="F114" s="154">
        <v>12.0</v>
      </c>
      <c r="G114" s="154">
        <v>19.0</v>
      </c>
      <c r="H114" s="154">
        <v>51.0</v>
      </c>
      <c r="I114" s="154">
        <v>51.0</v>
      </c>
      <c r="J114" s="154">
        <v>10.0</v>
      </c>
      <c r="K114" s="155">
        <v>0.14</v>
      </c>
      <c r="L114" s="155">
        <v>0.1</v>
      </c>
      <c r="M114" s="155">
        <v>0.14</v>
      </c>
      <c r="N114" s="155">
        <v>0.1</v>
      </c>
      <c r="O114" s="155">
        <v>0.29</v>
      </c>
      <c r="P114" s="155">
        <v>0.24</v>
      </c>
      <c r="Q114" s="155">
        <v>0.25</v>
      </c>
      <c r="R114" s="155">
        <v>0.25</v>
      </c>
      <c r="S114" s="154">
        <v>112.0</v>
      </c>
      <c r="T114" s="154">
        <v>112.0</v>
      </c>
      <c r="U114" s="154">
        <v>85.0</v>
      </c>
      <c r="V114" s="154">
        <v>85.0</v>
      </c>
      <c r="W114" s="154">
        <v>69.0</v>
      </c>
      <c r="X114" s="154">
        <v>69.0</v>
      </c>
      <c r="Y114" s="154">
        <v>59.0</v>
      </c>
      <c r="Z114" s="154">
        <v>40.0</v>
      </c>
    </row>
    <row r="115" ht="22.5" customHeight="1">
      <c r="A115" s="153" t="s">
        <v>1081</v>
      </c>
      <c r="B115" s="154">
        <v>15.0</v>
      </c>
      <c r="C115" s="153">
        <v>46.0</v>
      </c>
      <c r="D115" s="153">
        <v>11.0</v>
      </c>
      <c r="E115" s="153">
        <v>27.0</v>
      </c>
      <c r="F115" s="153">
        <v>25.0</v>
      </c>
      <c r="G115" s="153">
        <v>63.0</v>
      </c>
      <c r="H115" s="153">
        <v>8.0</v>
      </c>
      <c r="I115" s="153">
        <v>6.0</v>
      </c>
      <c r="J115" s="153">
        <v>28.0</v>
      </c>
      <c r="K115" s="155">
        <v>0.24</v>
      </c>
      <c r="L115" s="155">
        <v>0.25</v>
      </c>
      <c r="M115" s="155">
        <v>0.24</v>
      </c>
      <c r="N115" s="155">
        <v>0.25</v>
      </c>
      <c r="O115" s="155">
        <v>0.14</v>
      </c>
      <c r="P115" s="155">
        <v>0.19</v>
      </c>
      <c r="Q115" s="155">
        <v>0.15</v>
      </c>
      <c r="R115" s="155">
        <v>0.22</v>
      </c>
      <c r="S115" s="154">
        <v>92.0</v>
      </c>
      <c r="T115" s="154">
        <v>92.0</v>
      </c>
      <c r="U115" s="154">
        <v>105.0</v>
      </c>
      <c r="V115" s="154">
        <v>105.0</v>
      </c>
      <c r="W115" s="154">
        <v>49.0</v>
      </c>
      <c r="X115" s="154">
        <v>49.0</v>
      </c>
      <c r="Y115" s="154">
        <v>69.0</v>
      </c>
      <c r="Z115" s="154">
        <v>40.0</v>
      </c>
    </row>
    <row r="116" ht="22.5" customHeight="1">
      <c r="A116" s="153" t="s">
        <v>1081</v>
      </c>
      <c r="B116" s="154">
        <v>1.0</v>
      </c>
      <c r="C116" s="153">
        <v>7.0</v>
      </c>
      <c r="D116" s="153">
        <v>2.0</v>
      </c>
      <c r="E116" s="153">
        <v>3.0</v>
      </c>
      <c r="F116" s="153">
        <v>5.0</v>
      </c>
      <c r="G116" s="153">
        <v>8.0</v>
      </c>
      <c r="H116" s="153">
        <v>2.0</v>
      </c>
      <c r="I116" s="153">
        <v>2.0</v>
      </c>
      <c r="J116" s="153">
        <v>28.0</v>
      </c>
      <c r="K116" s="155">
        <v>0.24</v>
      </c>
      <c r="L116" s="155">
        <v>0.25</v>
      </c>
      <c r="M116" s="155">
        <v>0.24</v>
      </c>
      <c r="N116" s="155">
        <v>0.25</v>
      </c>
      <c r="O116" s="155">
        <v>0.14</v>
      </c>
      <c r="P116" s="155">
        <v>0.19</v>
      </c>
      <c r="Q116" s="155">
        <v>0.15</v>
      </c>
      <c r="R116" s="155">
        <v>0.22</v>
      </c>
      <c r="S116" s="154">
        <v>92.0</v>
      </c>
      <c r="T116" s="154">
        <v>92.0</v>
      </c>
      <c r="U116" s="154">
        <v>105.0</v>
      </c>
      <c r="V116" s="154">
        <v>105.0</v>
      </c>
      <c r="W116" s="154">
        <v>49.0</v>
      </c>
      <c r="X116" s="154">
        <v>49.0</v>
      </c>
      <c r="Y116" s="154">
        <v>69.0</v>
      </c>
      <c r="Z116" s="154">
        <v>40.0</v>
      </c>
    </row>
    <row r="117" ht="22.5" customHeight="1">
      <c r="A117" s="153" t="s">
        <v>1081</v>
      </c>
      <c r="B117" s="154">
        <v>2.0</v>
      </c>
      <c r="C117" s="153">
        <v>14.0</v>
      </c>
      <c r="D117" s="153">
        <v>3.0</v>
      </c>
      <c r="E117" s="153">
        <v>5.0</v>
      </c>
      <c r="F117" s="153">
        <v>9.0</v>
      </c>
      <c r="G117" s="153">
        <v>20.0</v>
      </c>
      <c r="H117" s="153">
        <v>3.0</v>
      </c>
      <c r="I117" s="153">
        <v>3.0</v>
      </c>
      <c r="J117" s="153">
        <v>28.0</v>
      </c>
      <c r="K117" s="155">
        <v>0.24</v>
      </c>
      <c r="L117" s="155">
        <v>0.25</v>
      </c>
      <c r="M117" s="155">
        <v>0.24</v>
      </c>
      <c r="N117" s="155">
        <v>0.25</v>
      </c>
      <c r="O117" s="155">
        <v>0.14</v>
      </c>
      <c r="P117" s="155">
        <v>0.19</v>
      </c>
      <c r="Q117" s="155">
        <v>0.15</v>
      </c>
      <c r="R117" s="155">
        <v>0.22</v>
      </c>
      <c r="S117" s="154">
        <v>92.0</v>
      </c>
      <c r="T117" s="154">
        <v>92.0</v>
      </c>
      <c r="U117" s="154">
        <v>105.0</v>
      </c>
      <c r="V117" s="154">
        <v>105.0</v>
      </c>
      <c r="W117" s="154">
        <v>49.0</v>
      </c>
      <c r="X117" s="154">
        <v>49.0</v>
      </c>
      <c r="Y117" s="154">
        <v>69.0</v>
      </c>
      <c r="Z117" s="154">
        <v>40.0</v>
      </c>
    </row>
    <row r="118" ht="22.5" customHeight="1">
      <c r="A118" s="153" t="s">
        <v>1081</v>
      </c>
      <c r="B118" s="154">
        <v>3.0</v>
      </c>
      <c r="C118" s="153">
        <v>16.0</v>
      </c>
      <c r="D118" s="153">
        <v>3.0</v>
      </c>
      <c r="E118" s="153">
        <v>6.0</v>
      </c>
      <c r="F118" s="153">
        <v>10.0</v>
      </c>
      <c r="G118" s="153">
        <v>24.0</v>
      </c>
      <c r="H118" s="153">
        <v>3.0</v>
      </c>
      <c r="I118" s="153">
        <v>3.0</v>
      </c>
      <c r="J118" s="153">
        <v>28.0</v>
      </c>
      <c r="K118" s="155">
        <v>0.24</v>
      </c>
      <c r="L118" s="155">
        <v>0.25</v>
      </c>
      <c r="M118" s="155">
        <v>0.24</v>
      </c>
      <c r="N118" s="155">
        <v>0.25</v>
      </c>
      <c r="O118" s="155">
        <v>0.14</v>
      </c>
      <c r="P118" s="155">
        <v>0.19</v>
      </c>
      <c r="Q118" s="155">
        <v>0.15</v>
      </c>
      <c r="R118" s="155">
        <v>0.22</v>
      </c>
      <c r="S118" s="154">
        <v>92.0</v>
      </c>
      <c r="T118" s="154">
        <v>92.0</v>
      </c>
      <c r="U118" s="154">
        <v>105.0</v>
      </c>
      <c r="V118" s="154">
        <v>105.0</v>
      </c>
      <c r="W118" s="154">
        <v>49.0</v>
      </c>
      <c r="X118" s="154">
        <v>49.0</v>
      </c>
      <c r="Y118" s="154">
        <v>69.0</v>
      </c>
      <c r="Z118" s="154">
        <v>40.0</v>
      </c>
    </row>
    <row r="119" ht="22.5" customHeight="1">
      <c r="A119" s="153" t="s">
        <v>1081</v>
      </c>
      <c r="B119" s="154">
        <v>4.0</v>
      </c>
      <c r="C119" s="153">
        <v>19.0</v>
      </c>
      <c r="D119" s="153">
        <v>4.0</v>
      </c>
      <c r="E119" s="153">
        <v>8.0</v>
      </c>
      <c r="F119" s="153">
        <v>11.0</v>
      </c>
      <c r="G119" s="153">
        <v>28.0</v>
      </c>
      <c r="H119" s="153">
        <v>3.0</v>
      </c>
      <c r="I119" s="153">
        <v>3.0</v>
      </c>
      <c r="J119" s="153">
        <v>28.0</v>
      </c>
      <c r="K119" s="155">
        <v>0.24</v>
      </c>
      <c r="L119" s="155">
        <v>0.25</v>
      </c>
      <c r="M119" s="155">
        <v>0.24</v>
      </c>
      <c r="N119" s="155">
        <v>0.25</v>
      </c>
      <c r="O119" s="155">
        <v>0.14</v>
      </c>
      <c r="P119" s="155">
        <v>0.19</v>
      </c>
      <c r="Q119" s="155">
        <v>0.15</v>
      </c>
      <c r="R119" s="155">
        <v>0.22</v>
      </c>
      <c r="S119" s="154">
        <v>92.0</v>
      </c>
      <c r="T119" s="154">
        <v>92.0</v>
      </c>
      <c r="U119" s="154">
        <v>105.0</v>
      </c>
      <c r="V119" s="154">
        <v>105.0</v>
      </c>
      <c r="W119" s="154">
        <v>49.0</v>
      </c>
      <c r="X119" s="154">
        <v>49.0</v>
      </c>
      <c r="Y119" s="154">
        <v>69.0</v>
      </c>
      <c r="Z119" s="154">
        <v>40.0</v>
      </c>
    </row>
    <row r="120" ht="22.5" customHeight="1">
      <c r="A120" s="153" t="s">
        <v>1081</v>
      </c>
      <c r="B120" s="154">
        <v>5.0</v>
      </c>
      <c r="C120" s="153">
        <v>21.0</v>
      </c>
      <c r="D120" s="153">
        <v>4.0</v>
      </c>
      <c r="E120" s="153">
        <v>10.0</v>
      </c>
      <c r="F120" s="153">
        <v>12.0</v>
      </c>
      <c r="G120" s="153">
        <v>32.0</v>
      </c>
      <c r="H120" s="153">
        <v>4.0</v>
      </c>
      <c r="I120" s="153">
        <v>3.0</v>
      </c>
      <c r="J120" s="153">
        <v>28.0</v>
      </c>
      <c r="K120" s="155">
        <v>0.24</v>
      </c>
      <c r="L120" s="155">
        <v>0.25</v>
      </c>
      <c r="M120" s="155">
        <v>0.24</v>
      </c>
      <c r="N120" s="155">
        <v>0.25</v>
      </c>
      <c r="O120" s="155">
        <v>0.14</v>
      </c>
      <c r="P120" s="155">
        <v>0.19</v>
      </c>
      <c r="Q120" s="155">
        <v>0.15</v>
      </c>
      <c r="R120" s="155">
        <v>0.22</v>
      </c>
      <c r="S120" s="154">
        <v>92.0</v>
      </c>
      <c r="T120" s="154">
        <v>92.0</v>
      </c>
      <c r="U120" s="154">
        <v>105.0</v>
      </c>
      <c r="V120" s="154">
        <v>105.0</v>
      </c>
      <c r="W120" s="154">
        <v>49.0</v>
      </c>
      <c r="X120" s="154">
        <v>49.0</v>
      </c>
      <c r="Y120" s="154">
        <v>69.0</v>
      </c>
      <c r="Z120" s="154">
        <v>40.0</v>
      </c>
    </row>
    <row r="121" ht="22.5" customHeight="1">
      <c r="A121" s="153" t="s">
        <v>1081</v>
      </c>
      <c r="B121" s="154">
        <v>6.0</v>
      </c>
      <c r="C121" s="153">
        <v>24.0</v>
      </c>
      <c r="D121" s="153">
        <v>5.0</v>
      </c>
      <c r="E121" s="153">
        <v>12.0</v>
      </c>
      <c r="F121" s="153">
        <v>14.0</v>
      </c>
      <c r="G121" s="153">
        <v>36.0</v>
      </c>
      <c r="H121" s="153">
        <v>4.0</v>
      </c>
      <c r="I121" s="153">
        <v>3.0</v>
      </c>
      <c r="J121" s="153">
        <v>28.0</v>
      </c>
      <c r="K121" s="155">
        <v>0.24</v>
      </c>
      <c r="L121" s="155">
        <v>0.25</v>
      </c>
      <c r="M121" s="155">
        <v>0.24</v>
      </c>
      <c r="N121" s="155">
        <v>0.25</v>
      </c>
      <c r="O121" s="155">
        <v>0.14</v>
      </c>
      <c r="P121" s="155">
        <v>0.19</v>
      </c>
      <c r="Q121" s="155">
        <v>0.15</v>
      </c>
      <c r="R121" s="155">
        <v>0.22</v>
      </c>
      <c r="S121" s="154">
        <v>92.0</v>
      </c>
      <c r="T121" s="154">
        <v>92.0</v>
      </c>
      <c r="U121" s="154">
        <v>105.0</v>
      </c>
      <c r="V121" s="154">
        <v>105.0</v>
      </c>
      <c r="W121" s="154">
        <v>49.0</v>
      </c>
      <c r="X121" s="154">
        <v>49.0</v>
      </c>
      <c r="Y121" s="154">
        <v>69.0</v>
      </c>
      <c r="Z121" s="154">
        <v>40.0</v>
      </c>
    </row>
    <row r="122" ht="22.5" customHeight="1">
      <c r="A122" s="153" t="s">
        <v>1081</v>
      </c>
      <c r="B122" s="154">
        <v>7.0</v>
      </c>
      <c r="C122" s="153">
        <v>27.0</v>
      </c>
      <c r="D122" s="153">
        <v>6.0</v>
      </c>
      <c r="E122" s="153">
        <v>14.0</v>
      </c>
      <c r="F122" s="153">
        <v>15.0</v>
      </c>
      <c r="G122" s="153">
        <v>40.0</v>
      </c>
      <c r="H122" s="153">
        <v>5.0</v>
      </c>
      <c r="I122" s="153">
        <v>4.0</v>
      </c>
      <c r="J122" s="153">
        <v>28.0</v>
      </c>
      <c r="K122" s="155">
        <v>0.24</v>
      </c>
      <c r="L122" s="155">
        <v>0.25</v>
      </c>
      <c r="M122" s="155">
        <v>0.24</v>
      </c>
      <c r="N122" s="155">
        <v>0.25</v>
      </c>
      <c r="O122" s="155">
        <v>0.14</v>
      </c>
      <c r="P122" s="155">
        <v>0.19</v>
      </c>
      <c r="Q122" s="155">
        <v>0.15</v>
      </c>
      <c r="R122" s="155">
        <v>0.22</v>
      </c>
      <c r="S122" s="154">
        <v>92.0</v>
      </c>
      <c r="T122" s="154">
        <v>92.0</v>
      </c>
      <c r="U122" s="154">
        <v>105.0</v>
      </c>
      <c r="V122" s="154">
        <v>105.0</v>
      </c>
      <c r="W122" s="154">
        <v>49.0</v>
      </c>
      <c r="X122" s="154">
        <v>49.0</v>
      </c>
      <c r="Y122" s="154">
        <v>69.0</v>
      </c>
      <c r="Z122" s="154">
        <v>40.0</v>
      </c>
    </row>
  </sheetData>
  <customSheetViews>
    <customSheetView guid="{5789FFBA-2C97-441C-B056-EBFB2AE12A76}" filter="1" showAutoFilter="1">
      <autoFilter ref="$A$2:$Z$122"/>
    </customSheetView>
    <customSheetView guid="{716F8C4B-7A01-4ACE-9774-80E3C039567C}" filter="1" showAutoFilter="1">
      <autoFilter ref="$A$2:$Z$122"/>
    </customSheetView>
  </customSheetView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3.88"/>
    <col customWidth="1" min="2" max="2" width="0.38"/>
    <col customWidth="1" min="5" max="6" width="0.38"/>
    <col customWidth="1" min="8" max="8" width="0.38"/>
    <col customWidth="1" min="10" max="10" width="0.38"/>
    <col customWidth="1" min="12" max="12" width="0.38"/>
    <col customWidth="1" min="14" max="14" width="0.38"/>
    <col customWidth="1" min="16" max="16" width="0.38"/>
    <col customWidth="1" min="18" max="18" width="0.38"/>
    <col customWidth="1" min="20" max="20" width="0.38"/>
    <col customWidth="1" min="22" max="22" width="0.38"/>
  </cols>
  <sheetData>
    <row r="1">
      <c r="A1" s="157" t="s">
        <v>17</v>
      </c>
      <c r="B1" s="158"/>
      <c r="C1" s="159" t="s">
        <v>1397</v>
      </c>
      <c r="D1" s="160" t="s">
        <v>1398</v>
      </c>
      <c r="E1" s="161"/>
      <c r="F1" s="162" t="s">
        <v>1399</v>
      </c>
      <c r="G1" s="163"/>
      <c r="H1" s="162" t="s">
        <v>1400</v>
      </c>
      <c r="I1" s="163"/>
      <c r="J1" s="162" t="s">
        <v>1401</v>
      </c>
      <c r="K1" s="163"/>
      <c r="L1" s="162" t="s">
        <v>1402</v>
      </c>
      <c r="M1" s="163"/>
      <c r="N1" s="164" t="s">
        <v>1403</v>
      </c>
      <c r="O1" s="163"/>
      <c r="P1" s="165" t="s">
        <v>1404</v>
      </c>
      <c r="Q1" s="163"/>
      <c r="R1" s="166" t="s">
        <v>1405</v>
      </c>
      <c r="S1" s="163"/>
      <c r="T1" s="167" t="s">
        <v>1406</v>
      </c>
      <c r="U1" s="163"/>
      <c r="V1" s="158"/>
      <c r="W1" s="168" t="s">
        <v>1388</v>
      </c>
      <c r="X1" s="169" t="s">
        <v>1389</v>
      </c>
      <c r="Y1" s="170" t="s">
        <v>1390</v>
      </c>
      <c r="Z1" s="171" t="s">
        <v>1391</v>
      </c>
      <c r="AA1" s="172" t="s">
        <v>1392</v>
      </c>
      <c r="AB1" s="173" t="s">
        <v>1393</v>
      </c>
      <c r="AC1" s="174" t="s">
        <v>1394</v>
      </c>
      <c r="AD1" s="159" t="s">
        <v>1395</v>
      </c>
    </row>
    <row r="2">
      <c r="A2" s="61" t="s">
        <v>1407</v>
      </c>
      <c r="B2" s="158"/>
      <c r="C2" s="175">
        <v>7.500002E7</v>
      </c>
      <c r="D2" s="175">
        <v>11328.0</v>
      </c>
      <c r="E2" s="161"/>
      <c r="F2" s="176">
        <v>100.0</v>
      </c>
      <c r="G2" s="175">
        <v>0.0</v>
      </c>
      <c r="H2" s="176">
        <v>100.0</v>
      </c>
      <c r="I2" s="175">
        <v>0.0</v>
      </c>
      <c r="J2" s="176">
        <v>100.0</v>
      </c>
      <c r="K2" s="175">
        <v>0.0</v>
      </c>
      <c r="L2" s="176">
        <v>100.0</v>
      </c>
      <c r="M2" s="175">
        <v>-10.0</v>
      </c>
      <c r="N2" s="176">
        <v>100.0</v>
      </c>
      <c r="O2" s="175">
        <v>0.0</v>
      </c>
      <c r="P2" s="176">
        <v>100.0</v>
      </c>
      <c r="Q2" s="175">
        <v>50.0</v>
      </c>
      <c r="R2" s="176">
        <v>100.0</v>
      </c>
      <c r="S2" s="175">
        <v>0.0</v>
      </c>
      <c r="T2" s="176">
        <v>100.0</v>
      </c>
      <c r="U2" s="175">
        <v>-35.0</v>
      </c>
      <c r="V2" s="158"/>
      <c r="W2" s="176">
        <v>542.0</v>
      </c>
      <c r="X2" s="176">
        <v>252.0</v>
      </c>
      <c r="Y2" s="176">
        <v>252.0</v>
      </c>
      <c r="Z2" s="176">
        <v>542.0</v>
      </c>
      <c r="AA2" s="176">
        <v>154.0</v>
      </c>
      <c r="AB2" s="176" t="s">
        <v>1408</v>
      </c>
      <c r="AC2" s="176" t="s">
        <v>1408</v>
      </c>
      <c r="AD2" s="175">
        <v>120.0</v>
      </c>
    </row>
    <row r="3">
      <c r="A3" s="177" t="s">
        <v>1409</v>
      </c>
      <c r="B3" s="158"/>
      <c r="C3" s="178">
        <v>7.500202E7</v>
      </c>
      <c r="D3" s="175">
        <v>11328.0</v>
      </c>
      <c r="E3" s="161"/>
      <c r="F3" s="176">
        <v>100.0</v>
      </c>
      <c r="G3" s="175">
        <v>0.0</v>
      </c>
      <c r="H3" s="176">
        <v>100.0</v>
      </c>
      <c r="I3" s="175">
        <v>0.0</v>
      </c>
      <c r="J3" s="176">
        <v>100.0</v>
      </c>
      <c r="K3" s="175">
        <v>0.0</v>
      </c>
      <c r="L3" s="176">
        <v>100.0</v>
      </c>
      <c r="M3" s="175">
        <v>-10.0</v>
      </c>
      <c r="N3" s="176">
        <v>100.0</v>
      </c>
      <c r="O3" s="175">
        <v>0.0</v>
      </c>
      <c r="P3" s="176">
        <v>100.0</v>
      </c>
      <c r="Q3" s="175">
        <v>50.0</v>
      </c>
      <c r="R3" s="176">
        <v>100.0</v>
      </c>
      <c r="S3" s="175">
        <v>0.0</v>
      </c>
      <c r="T3" s="176">
        <v>100.0</v>
      </c>
      <c r="U3" s="175">
        <v>-35.0</v>
      </c>
      <c r="V3" s="158"/>
      <c r="W3" s="176">
        <v>542.0</v>
      </c>
      <c r="X3" s="176">
        <v>252.0</v>
      </c>
      <c r="Y3" s="176">
        <v>252.0</v>
      </c>
      <c r="Z3" s="176">
        <v>542.0</v>
      </c>
      <c r="AA3" s="176">
        <v>154.0</v>
      </c>
      <c r="AB3" s="176" t="s">
        <v>1408</v>
      </c>
      <c r="AC3" s="176" t="s">
        <v>1408</v>
      </c>
      <c r="AD3" s="175">
        <v>120.0</v>
      </c>
    </row>
    <row r="4">
      <c r="A4" s="177" t="s">
        <v>1409</v>
      </c>
      <c r="B4" s="158"/>
      <c r="C4" s="179">
        <v>7.500302E7</v>
      </c>
      <c r="D4" s="175">
        <v>11328.0</v>
      </c>
      <c r="E4" s="161"/>
      <c r="F4" s="176">
        <v>100.0</v>
      </c>
      <c r="G4" s="175">
        <v>0.0</v>
      </c>
      <c r="H4" s="176">
        <v>100.0</v>
      </c>
      <c r="I4" s="175">
        <v>0.0</v>
      </c>
      <c r="J4" s="176">
        <v>100.0</v>
      </c>
      <c r="K4" s="175">
        <v>0.0</v>
      </c>
      <c r="L4" s="176">
        <v>100.0</v>
      </c>
      <c r="M4" s="175">
        <v>-10.0</v>
      </c>
      <c r="N4" s="176">
        <v>100.0</v>
      </c>
      <c r="O4" s="175">
        <v>0.0</v>
      </c>
      <c r="P4" s="176">
        <v>100.0</v>
      </c>
      <c r="Q4" s="175">
        <v>50.0</v>
      </c>
      <c r="R4" s="176">
        <v>100.0</v>
      </c>
      <c r="S4" s="175">
        <v>0.0</v>
      </c>
      <c r="T4" s="176">
        <v>100.0</v>
      </c>
      <c r="U4" s="175">
        <v>-35.0</v>
      </c>
      <c r="V4" s="158"/>
      <c r="W4" s="176">
        <v>542.0</v>
      </c>
      <c r="X4" s="176">
        <v>252.0</v>
      </c>
      <c r="Y4" s="176">
        <v>252.0</v>
      </c>
      <c r="Z4" s="176">
        <v>542.0</v>
      </c>
      <c r="AA4" s="176">
        <v>154.0</v>
      </c>
      <c r="AB4" s="176" t="s">
        <v>1408</v>
      </c>
      <c r="AC4" s="176" t="s">
        <v>1408</v>
      </c>
      <c r="AD4" s="175">
        <v>120.0</v>
      </c>
    </row>
    <row r="5">
      <c r="A5" s="61" t="s">
        <v>1410</v>
      </c>
      <c r="B5" s="158"/>
      <c r="C5" s="175">
        <v>7.510002E7</v>
      </c>
      <c r="D5" s="178">
        <v>13140.0</v>
      </c>
      <c r="E5" s="161"/>
      <c r="F5" s="176">
        <v>100.0</v>
      </c>
      <c r="G5" s="175">
        <v>0.0</v>
      </c>
      <c r="H5" s="176">
        <v>100.0</v>
      </c>
      <c r="I5" s="175">
        <v>0.0</v>
      </c>
      <c r="J5" s="176">
        <v>100.0</v>
      </c>
      <c r="K5" s="175">
        <v>0.0</v>
      </c>
      <c r="L5" s="176">
        <v>100.0</v>
      </c>
      <c r="M5" s="175">
        <v>0.0</v>
      </c>
      <c r="N5" s="176">
        <v>100.0</v>
      </c>
      <c r="O5" s="175">
        <v>0.0</v>
      </c>
      <c r="P5" s="176">
        <v>100.0</v>
      </c>
      <c r="Q5" s="175">
        <v>20.0</v>
      </c>
      <c r="R5" s="176">
        <v>100.0</v>
      </c>
      <c r="S5" s="175">
        <v>50.0</v>
      </c>
      <c r="T5" s="176">
        <v>100.0</v>
      </c>
      <c r="U5" s="175">
        <v>0.0</v>
      </c>
      <c r="V5" s="158"/>
      <c r="W5" s="176">
        <v>154.0</v>
      </c>
      <c r="X5" s="176">
        <v>154.0</v>
      </c>
      <c r="Y5" s="176">
        <v>542.0</v>
      </c>
      <c r="Z5" s="179">
        <v>154.0</v>
      </c>
      <c r="AA5" s="176">
        <v>154.0</v>
      </c>
      <c r="AB5" s="176" t="s">
        <v>1408</v>
      </c>
      <c r="AC5" s="176" t="s">
        <v>1408</v>
      </c>
      <c r="AD5" s="175">
        <v>150.0</v>
      </c>
    </row>
    <row r="6">
      <c r="A6" s="177" t="s">
        <v>1411</v>
      </c>
      <c r="B6" s="158"/>
      <c r="C6" s="175">
        <v>7.520002E7</v>
      </c>
      <c r="D6" s="178">
        <v>13027.0</v>
      </c>
      <c r="E6" s="161"/>
      <c r="F6" s="176">
        <v>100.0</v>
      </c>
      <c r="G6" s="175">
        <v>-15.0</v>
      </c>
      <c r="H6" s="176">
        <v>100.0</v>
      </c>
      <c r="I6" s="175">
        <v>-15.0</v>
      </c>
      <c r="J6" s="176">
        <v>100.0</v>
      </c>
      <c r="K6" s="175">
        <v>-25.0</v>
      </c>
      <c r="L6" s="176">
        <v>100.0</v>
      </c>
      <c r="M6" s="175">
        <v>-25.0</v>
      </c>
      <c r="N6" s="176">
        <v>100.0</v>
      </c>
      <c r="O6" s="175">
        <v>50.0</v>
      </c>
      <c r="P6" s="176">
        <v>100.0</v>
      </c>
      <c r="Q6" s="175">
        <v>-40.0</v>
      </c>
      <c r="R6" s="176">
        <v>100.0</v>
      </c>
      <c r="S6" s="175">
        <v>10.0</v>
      </c>
      <c r="T6" s="176">
        <v>100.0</v>
      </c>
      <c r="U6" s="175">
        <v>10.0</v>
      </c>
      <c r="V6" s="158"/>
      <c r="W6" s="176">
        <v>542.0</v>
      </c>
      <c r="X6" s="176">
        <v>154.0</v>
      </c>
      <c r="Y6" s="176">
        <v>154.0</v>
      </c>
      <c r="Z6" s="176">
        <v>154.0</v>
      </c>
      <c r="AA6" s="176">
        <v>542.0</v>
      </c>
      <c r="AB6" s="176" t="s">
        <v>1408</v>
      </c>
      <c r="AC6" s="176" t="s">
        <v>1408</v>
      </c>
      <c r="AD6" s="175">
        <v>100.0</v>
      </c>
    </row>
    <row r="7">
      <c r="A7" s="177" t="s">
        <v>1412</v>
      </c>
      <c r="B7" s="158"/>
      <c r="C7" s="178">
        <v>7.520011E7</v>
      </c>
      <c r="D7" s="178">
        <v>13027.0</v>
      </c>
      <c r="E7" s="161"/>
      <c r="F7" s="176">
        <v>100.0</v>
      </c>
      <c r="G7" s="175">
        <v>-15.0</v>
      </c>
      <c r="H7" s="176">
        <v>100.0</v>
      </c>
      <c r="I7" s="175">
        <v>-15.0</v>
      </c>
      <c r="J7" s="176">
        <v>100.0</v>
      </c>
      <c r="K7" s="175">
        <v>-25.0</v>
      </c>
      <c r="L7" s="176">
        <v>100.0</v>
      </c>
      <c r="M7" s="175">
        <v>-25.0</v>
      </c>
      <c r="N7" s="176">
        <v>100.0</v>
      </c>
      <c r="O7" s="175">
        <v>50.0</v>
      </c>
      <c r="P7" s="176">
        <v>100.0</v>
      </c>
      <c r="Q7" s="175">
        <v>-40.0</v>
      </c>
      <c r="R7" s="176">
        <v>100.0</v>
      </c>
      <c r="S7" s="175">
        <v>10.0</v>
      </c>
      <c r="T7" s="176">
        <v>100.0</v>
      </c>
      <c r="U7" s="175">
        <v>10.0</v>
      </c>
      <c r="V7" s="158"/>
      <c r="W7" s="176">
        <v>542.0</v>
      </c>
      <c r="X7" s="176">
        <v>154.0</v>
      </c>
      <c r="Y7" s="176">
        <v>154.0</v>
      </c>
      <c r="Z7" s="176">
        <v>154.0</v>
      </c>
      <c r="AA7" s="176">
        <v>542.0</v>
      </c>
      <c r="AB7" s="176" t="s">
        <v>1408</v>
      </c>
      <c r="AC7" s="176" t="s">
        <v>1408</v>
      </c>
      <c r="AD7" s="175">
        <v>100.0</v>
      </c>
    </row>
    <row r="8">
      <c r="A8" s="177" t="s">
        <v>1413</v>
      </c>
      <c r="B8" s="158"/>
      <c r="C8" s="178">
        <v>7.530001E7</v>
      </c>
      <c r="D8" s="178">
        <v>13027.0</v>
      </c>
      <c r="E8" s="161"/>
      <c r="F8" s="176">
        <v>100.0</v>
      </c>
      <c r="G8" s="175">
        <v>10.0</v>
      </c>
      <c r="H8" s="176">
        <v>100.0</v>
      </c>
      <c r="I8" s="175">
        <v>-20.0</v>
      </c>
      <c r="J8" s="176">
        <v>100.0</v>
      </c>
      <c r="K8" s="175">
        <v>20.0</v>
      </c>
      <c r="L8" s="176">
        <v>100.0</v>
      </c>
      <c r="M8" s="175">
        <v>-10.0</v>
      </c>
      <c r="N8" s="176">
        <v>100.0</v>
      </c>
      <c r="O8" s="175">
        <v>10.0</v>
      </c>
      <c r="P8" s="176">
        <v>100.0</v>
      </c>
      <c r="Q8" s="175">
        <v>-35.0</v>
      </c>
      <c r="R8" s="176">
        <v>100.0</v>
      </c>
      <c r="S8" s="175">
        <v>10.0</v>
      </c>
      <c r="T8" s="176">
        <v>100.0</v>
      </c>
      <c r="U8" s="175">
        <v>10.0</v>
      </c>
      <c r="V8" s="158"/>
      <c r="W8" s="176">
        <v>252.0</v>
      </c>
      <c r="X8" s="176">
        <v>154.0</v>
      </c>
      <c r="Y8" s="176">
        <v>154.0</v>
      </c>
      <c r="Z8" s="176">
        <v>154.0</v>
      </c>
      <c r="AA8" s="176">
        <v>154.0</v>
      </c>
      <c r="AB8" s="176" t="s">
        <v>1408</v>
      </c>
      <c r="AC8" s="176" t="s">
        <v>1408</v>
      </c>
      <c r="AD8" s="175">
        <v>150.0</v>
      </c>
    </row>
    <row r="9">
      <c r="A9" s="177" t="s">
        <v>1414</v>
      </c>
      <c r="B9" s="158"/>
      <c r="C9" s="178">
        <v>7.530011E7</v>
      </c>
      <c r="D9" s="178">
        <v>13027.0</v>
      </c>
      <c r="E9" s="161"/>
      <c r="F9" s="176">
        <v>100.0</v>
      </c>
      <c r="G9" s="175">
        <v>10.0</v>
      </c>
      <c r="H9" s="176">
        <v>100.0</v>
      </c>
      <c r="I9" s="175">
        <v>-20.0</v>
      </c>
      <c r="J9" s="176">
        <v>100.0</v>
      </c>
      <c r="K9" s="175">
        <v>20.0</v>
      </c>
      <c r="L9" s="176">
        <v>100.0</v>
      </c>
      <c r="M9" s="175">
        <v>-10.0</v>
      </c>
      <c r="N9" s="176">
        <v>100.0</v>
      </c>
      <c r="O9" s="175">
        <v>10.0</v>
      </c>
      <c r="P9" s="176">
        <v>100.0</v>
      </c>
      <c r="Q9" s="175">
        <v>-35.0</v>
      </c>
      <c r="R9" s="176">
        <v>100.0</v>
      </c>
      <c r="S9" s="175">
        <v>10.0</v>
      </c>
      <c r="T9" s="176">
        <v>100.0</v>
      </c>
      <c r="U9" s="175">
        <v>10.0</v>
      </c>
      <c r="V9" s="158"/>
      <c r="W9" s="176">
        <v>252.0</v>
      </c>
      <c r="X9" s="176">
        <v>154.0</v>
      </c>
      <c r="Y9" s="176">
        <v>154.0</v>
      </c>
      <c r="Z9" s="176">
        <v>154.0</v>
      </c>
      <c r="AA9" s="176">
        <v>154.0</v>
      </c>
      <c r="AB9" s="176" t="s">
        <v>1408</v>
      </c>
      <c r="AC9" s="176" t="s">
        <v>1408</v>
      </c>
      <c r="AD9" s="175">
        <v>150.0</v>
      </c>
    </row>
    <row r="10">
      <c r="A10" s="61" t="s">
        <v>1415</v>
      </c>
      <c r="B10" s="158"/>
      <c r="C10" s="175">
        <v>7.540002E7</v>
      </c>
      <c r="D10" s="178">
        <v>12687.0</v>
      </c>
      <c r="E10" s="161"/>
      <c r="F10" s="176">
        <v>100.0</v>
      </c>
      <c r="G10" s="175">
        <v>0.0</v>
      </c>
      <c r="H10" s="176">
        <v>100.0</v>
      </c>
      <c r="I10" s="175">
        <v>20.0</v>
      </c>
      <c r="J10" s="176">
        <v>100.0</v>
      </c>
      <c r="K10" s="175">
        <v>-15.0</v>
      </c>
      <c r="L10" s="176">
        <v>100.0</v>
      </c>
      <c r="M10" s="175">
        <v>10.0</v>
      </c>
      <c r="N10" s="176">
        <v>100.0</v>
      </c>
      <c r="O10" s="175">
        <v>20.0</v>
      </c>
      <c r="P10" s="176">
        <v>100.0</v>
      </c>
      <c r="Q10" s="175">
        <v>50.0</v>
      </c>
      <c r="R10" s="176">
        <v>100.0</v>
      </c>
      <c r="S10" s="175">
        <v>-40.0</v>
      </c>
      <c r="T10" s="176">
        <v>100.0</v>
      </c>
      <c r="U10" s="175">
        <v>15.0</v>
      </c>
      <c r="V10" s="158"/>
      <c r="W10" s="176" t="s">
        <v>1408</v>
      </c>
      <c r="X10" s="176">
        <v>252.0</v>
      </c>
      <c r="Y10" s="176" t="s">
        <v>1408</v>
      </c>
      <c r="Z10" s="176">
        <v>252.0</v>
      </c>
      <c r="AA10" s="176" t="s">
        <v>1408</v>
      </c>
      <c r="AB10" s="176" t="s">
        <v>1408</v>
      </c>
      <c r="AC10" s="176" t="s">
        <v>1408</v>
      </c>
      <c r="AD10" s="175">
        <v>150.0</v>
      </c>
    </row>
    <row r="11">
      <c r="A11" s="61" t="s">
        <v>1416</v>
      </c>
      <c r="B11" s="158"/>
      <c r="C11" s="178">
        <v>7.560002E7</v>
      </c>
      <c r="D11" s="175">
        <v>13048.0</v>
      </c>
      <c r="E11" s="161"/>
      <c r="F11" s="176">
        <v>100.0</v>
      </c>
      <c r="G11" s="175">
        <v>0.0</v>
      </c>
      <c r="H11" s="176">
        <v>100.0</v>
      </c>
      <c r="I11" s="175">
        <v>0.0</v>
      </c>
      <c r="J11" s="176">
        <v>100.0</v>
      </c>
      <c r="K11" s="175">
        <v>-10.0</v>
      </c>
      <c r="L11" s="176">
        <v>100.0</v>
      </c>
      <c r="M11" s="175">
        <v>0.0</v>
      </c>
      <c r="N11" s="176">
        <v>100.0</v>
      </c>
      <c r="O11" s="175">
        <v>20.0</v>
      </c>
      <c r="P11" s="176">
        <v>100.0</v>
      </c>
      <c r="Q11" s="175">
        <v>-20.0</v>
      </c>
      <c r="R11" s="176">
        <v>100.0</v>
      </c>
      <c r="S11" s="175">
        <v>0.0</v>
      </c>
      <c r="T11" s="176">
        <v>100.0</v>
      </c>
      <c r="U11" s="175">
        <v>-35.0</v>
      </c>
      <c r="V11" s="158"/>
      <c r="W11" s="176">
        <v>154.0</v>
      </c>
      <c r="X11" s="176">
        <v>154.0</v>
      </c>
      <c r="Y11" s="176">
        <v>252.0</v>
      </c>
      <c r="Z11" s="176">
        <v>252.0</v>
      </c>
      <c r="AA11" s="176" t="s">
        <v>1408</v>
      </c>
      <c r="AB11" s="176">
        <v>154.0</v>
      </c>
      <c r="AC11" s="176" t="s">
        <v>1408</v>
      </c>
      <c r="AD11" s="175">
        <v>120.0</v>
      </c>
    </row>
    <row r="12">
      <c r="A12" s="61" t="s">
        <v>1417</v>
      </c>
      <c r="B12" s="158"/>
      <c r="C12" s="175">
        <v>7.600001E7</v>
      </c>
      <c r="D12" s="175">
        <v>11894.0</v>
      </c>
      <c r="E12" s="161"/>
      <c r="F12" s="176">
        <v>100.0</v>
      </c>
      <c r="G12" s="175">
        <v>0.0</v>
      </c>
      <c r="H12" s="176">
        <v>100.0</v>
      </c>
      <c r="I12" s="175">
        <v>0.0</v>
      </c>
      <c r="J12" s="176">
        <v>100.0</v>
      </c>
      <c r="K12" s="175">
        <v>0.0</v>
      </c>
      <c r="L12" s="176">
        <v>100.0</v>
      </c>
      <c r="M12" s="175">
        <v>0.0</v>
      </c>
      <c r="N12" s="176">
        <v>100.0</v>
      </c>
      <c r="O12" s="176">
        <v>0.0</v>
      </c>
      <c r="P12" s="176">
        <v>100.0</v>
      </c>
      <c r="Q12" s="175">
        <v>0.0</v>
      </c>
      <c r="R12" s="176">
        <v>100.0</v>
      </c>
      <c r="S12" s="175">
        <v>-20.0</v>
      </c>
      <c r="T12" s="176">
        <v>100.0</v>
      </c>
      <c r="U12" s="175">
        <v>30.0</v>
      </c>
      <c r="V12" s="158"/>
      <c r="W12" s="176">
        <v>154.0</v>
      </c>
      <c r="X12" s="176">
        <v>154.0</v>
      </c>
      <c r="Y12" s="176">
        <v>154.0</v>
      </c>
      <c r="Z12" s="176">
        <v>154.0</v>
      </c>
      <c r="AA12" s="176">
        <v>154.0</v>
      </c>
      <c r="AB12" s="176" t="s">
        <v>1408</v>
      </c>
      <c r="AC12" s="176" t="s">
        <v>1408</v>
      </c>
      <c r="AD12" s="175">
        <v>155.0</v>
      </c>
    </row>
    <row r="13">
      <c r="A13" s="61" t="s">
        <v>1418</v>
      </c>
      <c r="B13" s="158"/>
      <c r="C13" s="175">
        <v>4.900001E7</v>
      </c>
      <c r="D13" s="175">
        <v>12008.0</v>
      </c>
      <c r="E13" s="161"/>
      <c r="F13" s="176">
        <v>100.0</v>
      </c>
      <c r="G13" s="175">
        <v>0.0</v>
      </c>
      <c r="H13" s="176">
        <v>100.0</v>
      </c>
      <c r="I13" s="175">
        <v>-15.0</v>
      </c>
      <c r="J13" s="176">
        <v>100.0</v>
      </c>
      <c r="K13" s="175">
        <v>15.0</v>
      </c>
      <c r="L13" s="176">
        <v>100.0</v>
      </c>
      <c r="M13" s="175">
        <v>10.0</v>
      </c>
      <c r="N13" s="176">
        <v>100.0</v>
      </c>
      <c r="O13" s="175">
        <v>20.0</v>
      </c>
      <c r="P13" s="176">
        <v>100.0</v>
      </c>
      <c r="Q13" s="175">
        <v>-35.0</v>
      </c>
      <c r="R13" s="176">
        <v>100.0</v>
      </c>
      <c r="S13" s="175">
        <v>20.0</v>
      </c>
      <c r="T13" s="176">
        <v>100.0</v>
      </c>
      <c r="U13" s="175">
        <v>20.0</v>
      </c>
      <c r="V13" s="158"/>
      <c r="W13" s="176">
        <v>252.0</v>
      </c>
      <c r="X13" s="176">
        <v>252.0</v>
      </c>
      <c r="Y13" s="176">
        <v>252.0</v>
      </c>
      <c r="Z13" s="176">
        <v>542.0</v>
      </c>
      <c r="AA13" s="176">
        <v>542.0</v>
      </c>
      <c r="AB13" s="176" t="s">
        <v>1408</v>
      </c>
      <c r="AC13" s="176" t="s">
        <v>1408</v>
      </c>
      <c r="AD13" s="175">
        <v>160.0</v>
      </c>
    </row>
    <row r="14">
      <c r="A14" s="61" t="s">
        <v>1419</v>
      </c>
      <c r="B14" s="158"/>
      <c r="C14" s="175">
        <v>7.620001E7</v>
      </c>
      <c r="D14" s="180" t="s">
        <v>1420</v>
      </c>
      <c r="E14" s="161"/>
      <c r="F14" s="2"/>
      <c r="G14" s="175">
        <v>0.0</v>
      </c>
      <c r="H14" s="2"/>
      <c r="I14" s="175">
        <v>-10.0</v>
      </c>
      <c r="J14" s="2"/>
      <c r="K14" s="175">
        <v>8.0</v>
      </c>
      <c r="L14" s="2"/>
      <c r="M14" s="175">
        <v>0.0</v>
      </c>
      <c r="N14" s="2"/>
      <c r="O14" s="176">
        <v>0.0</v>
      </c>
      <c r="P14" s="2"/>
      <c r="Q14" s="175">
        <v>8.0</v>
      </c>
      <c r="R14" s="2"/>
      <c r="S14" s="175">
        <v>10.0</v>
      </c>
      <c r="T14" s="2"/>
      <c r="U14" s="175">
        <v>30.0</v>
      </c>
      <c r="V14" s="158"/>
      <c r="W14" s="176">
        <v>252.0</v>
      </c>
      <c r="X14" s="176">
        <v>252.0</v>
      </c>
      <c r="Y14" s="176">
        <v>252.0</v>
      </c>
      <c r="Z14" s="176">
        <v>252.0</v>
      </c>
      <c r="AA14" s="176">
        <v>84.0</v>
      </c>
      <c r="AB14" s="176" t="s">
        <v>1408</v>
      </c>
      <c r="AC14" s="176" t="s">
        <v>1408</v>
      </c>
      <c r="AD14" s="175">
        <v>75.0</v>
      </c>
    </row>
    <row r="15">
      <c r="A15" s="61" t="s">
        <v>1421</v>
      </c>
      <c r="B15" s="158"/>
      <c r="C15" s="175">
        <v>7.610001E7</v>
      </c>
      <c r="D15" s="175">
        <v>11554.0</v>
      </c>
      <c r="E15" s="161"/>
      <c r="F15" s="2"/>
      <c r="G15" s="175">
        <v>0.0</v>
      </c>
      <c r="H15" s="2"/>
      <c r="I15" s="175">
        <v>0.0</v>
      </c>
      <c r="J15" s="2"/>
      <c r="K15" s="175">
        <v>-10.0</v>
      </c>
      <c r="L15" s="2"/>
      <c r="M15" s="175">
        <v>-10.0</v>
      </c>
      <c r="N15" s="2"/>
      <c r="O15" s="176">
        <v>0.0</v>
      </c>
      <c r="P15" s="2"/>
      <c r="Q15" s="175">
        <v>-20.0</v>
      </c>
      <c r="R15" s="2"/>
      <c r="S15" s="175">
        <v>10.0</v>
      </c>
      <c r="T15" s="2"/>
      <c r="U15" s="175">
        <v>-25.0</v>
      </c>
      <c r="V15" s="158"/>
      <c r="W15" s="176">
        <v>542.0</v>
      </c>
      <c r="X15" s="176">
        <v>542.0</v>
      </c>
      <c r="Y15" s="176">
        <v>252.0</v>
      </c>
      <c r="Z15" s="176">
        <v>252.0</v>
      </c>
      <c r="AA15" s="176">
        <v>252.0</v>
      </c>
      <c r="AB15" s="176" t="s">
        <v>1408</v>
      </c>
      <c r="AC15" s="176" t="s">
        <v>1408</v>
      </c>
      <c r="AD15" s="175">
        <v>150.0</v>
      </c>
    </row>
    <row r="16">
      <c r="A16" s="61" t="s">
        <v>1422</v>
      </c>
      <c r="B16" s="158"/>
      <c r="C16" s="175">
        <v>7.610001E7</v>
      </c>
      <c r="D16" s="175">
        <v>11554.0</v>
      </c>
      <c r="E16" s="161"/>
      <c r="F16" s="2"/>
      <c r="G16" s="175">
        <v>0.0</v>
      </c>
      <c r="H16" s="2"/>
      <c r="I16" s="175">
        <v>0.0</v>
      </c>
      <c r="J16" s="2"/>
      <c r="K16" s="175">
        <v>-10.0</v>
      </c>
      <c r="L16" s="2"/>
      <c r="M16" s="175">
        <v>-10.0</v>
      </c>
      <c r="N16" s="2"/>
      <c r="O16" s="176">
        <v>0.0</v>
      </c>
      <c r="P16" s="2"/>
      <c r="Q16" s="175">
        <v>-20.0</v>
      </c>
      <c r="R16" s="2"/>
      <c r="S16" s="175">
        <v>10.0</v>
      </c>
      <c r="T16" s="2"/>
      <c r="U16" s="175">
        <v>-25.0</v>
      </c>
      <c r="V16" s="158"/>
      <c r="W16" s="176">
        <v>542.0</v>
      </c>
      <c r="X16" s="176">
        <v>542.0</v>
      </c>
      <c r="Y16" s="176">
        <v>252.0</v>
      </c>
      <c r="Z16" s="176">
        <v>252.0</v>
      </c>
      <c r="AA16" s="176">
        <v>252.0</v>
      </c>
      <c r="AB16" s="176" t="s">
        <v>1408</v>
      </c>
      <c r="AC16" s="176" t="s">
        <v>1408</v>
      </c>
      <c r="AD16" s="175">
        <v>150.0</v>
      </c>
    </row>
    <row r="17">
      <c r="A17" s="61" t="s">
        <v>1423</v>
      </c>
      <c r="B17" s="158"/>
      <c r="C17" s="175">
        <v>7.580001E7</v>
      </c>
      <c r="D17" s="175">
        <v>4985.0</v>
      </c>
      <c r="E17" s="161"/>
      <c r="F17" s="176">
        <v>100.0</v>
      </c>
      <c r="G17" s="175">
        <v>0.0</v>
      </c>
      <c r="H17" s="176">
        <v>100.0</v>
      </c>
      <c r="I17" s="175">
        <v>10.0</v>
      </c>
      <c r="J17" s="176">
        <v>100.0</v>
      </c>
      <c r="K17" s="175">
        <v>-15.0</v>
      </c>
      <c r="L17" s="176">
        <v>100.0</v>
      </c>
      <c r="M17" s="175">
        <v>-10.0</v>
      </c>
      <c r="N17" s="176">
        <v>100.0</v>
      </c>
      <c r="O17" s="175">
        <v>0.0</v>
      </c>
      <c r="P17" s="176">
        <v>100.0</v>
      </c>
      <c r="Q17" s="175">
        <v>-20.0</v>
      </c>
      <c r="R17" s="176">
        <v>100.0</v>
      </c>
      <c r="S17" s="175">
        <v>0.0</v>
      </c>
      <c r="T17" s="176">
        <v>100.0</v>
      </c>
      <c r="U17" s="175">
        <v>-35.0</v>
      </c>
      <c r="V17" s="158"/>
      <c r="W17" s="176" t="s">
        <v>1408</v>
      </c>
      <c r="X17" s="176">
        <v>252.0</v>
      </c>
      <c r="Y17" s="176" t="s">
        <v>1408</v>
      </c>
      <c r="Z17" s="176" t="s">
        <v>1408</v>
      </c>
      <c r="AA17" s="176">
        <v>542.0</v>
      </c>
      <c r="AB17" s="176" t="s">
        <v>1408</v>
      </c>
      <c r="AC17" s="176" t="s">
        <v>1408</v>
      </c>
      <c r="AD17" s="175">
        <v>130.0</v>
      </c>
    </row>
    <row r="18">
      <c r="A18" s="61" t="s">
        <v>1424</v>
      </c>
      <c r="B18" s="158"/>
      <c r="C18" s="175">
        <v>7.580201E7</v>
      </c>
      <c r="D18" s="175">
        <v>10196.0</v>
      </c>
      <c r="E18" s="161"/>
      <c r="F18" s="176">
        <v>100.0</v>
      </c>
      <c r="G18" s="175">
        <v>0.0</v>
      </c>
      <c r="H18" s="176">
        <v>100.0</v>
      </c>
      <c r="I18" s="175">
        <v>-10.0</v>
      </c>
      <c r="J18" s="176">
        <v>100.0</v>
      </c>
      <c r="K18" s="175">
        <v>10.0</v>
      </c>
      <c r="L18" s="176">
        <v>100.0</v>
      </c>
      <c r="M18" s="175">
        <v>-15.0</v>
      </c>
      <c r="N18" s="176">
        <v>100.0</v>
      </c>
      <c r="O18" s="175">
        <v>0.0</v>
      </c>
      <c r="P18" s="176">
        <v>100.0</v>
      </c>
      <c r="Q18" s="175">
        <v>0.0</v>
      </c>
      <c r="R18" s="176">
        <v>100.0</v>
      </c>
      <c r="S18" s="175">
        <v>-20.0</v>
      </c>
      <c r="T18" s="176">
        <v>100.0</v>
      </c>
      <c r="U18" s="175">
        <v>-30.0</v>
      </c>
      <c r="V18" s="158"/>
      <c r="W18" s="176" t="s">
        <v>1408</v>
      </c>
      <c r="X18" s="176">
        <v>252.0</v>
      </c>
      <c r="Y18" s="176" t="s">
        <v>1408</v>
      </c>
      <c r="Z18" s="176" t="s">
        <v>1408</v>
      </c>
      <c r="AA18" s="176">
        <v>542.0</v>
      </c>
      <c r="AB18" s="176" t="s">
        <v>1408</v>
      </c>
      <c r="AC18" s="176" t="s">
        <v>1408</v>
      </c>
      <c r="AD18" s="175">
        <v>130.0</v>
      </c>
    </row>
    <row r="19" ht="1.5" customHeight="1">
      <c r="A19" s="181"/>
      <c r="B19" s="182"/>
      <c r="C19" s="159"/>
      <c r="D19" s="183"/>
      <c r="E19" s="184"/>
      <c r="F19" s="185"/>
      <c r="G19" s="186"/>
      <c r="H19" s="185"/>
      <c r="I19" s="186"/>
      <c r="J19" s="185"/>
      <c r="K19" s="187" t="s">
        <v>1425</v>
      </c>
      <c r="L19" s="185"/>
      <c r="M19" s="186"/>
      <c r="N19" s="188"/>
      <c r="O19" s="189"/>
      <c r="P19" s="190"/>
      <c r="Q19" s="191"/>
      <c r="R19" s="192"/>
      <c r="S19" s="193"/>
      <c r="T19" s="194"/>
      <c r="U19" s="195"/>
      <c r="V19" s="182"/>
      <c r="W19" s="196"/>
      <c r="X19" s="197"/>
      <c r="Y19" s="198"/>
      <c r="Z19" s="199"/>
      <c r="AA19" s="200"/>
      <c r="AB19" s="201"/>
      <c r="AC19" s="202"/>
      <c r="AD19" s="203"/>
    </row>
  </sheetData>
  <mergeCells count="8">
    <mergeCell ref="F1:G1"/>
    <mergeCell ref="H1:I1"/>
    <mergeCell ref="J1:K1"/>
    <mergeCell ref="L1:M1"/>
    <mergeCell ref="N1:O1"/>
    <mergeCell ref="P1:Q1"/>
    <mergeCell ref="R1:S1"/>
    <mergeCell ref="T1:U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3.75"/>
    <col customWidth="1" min="2" max="2" width="0.38"/>
    <col customWidth="1" min="5" max="6" width="0.38"/>
    <col customWidth="1" min="8" max="8" width="0.38"/>
    <col customWidth="1" min="10" max="10" width="0.38"/>
    <col customWidth="1" min="12" max="12" width="0.38"/>
    <col customWidth="1" min="14" max="14" width="0.38"/>
    <col customWidth="1" min="16" max="16" width="0.38"/>
    <col customWidth="1" min="18" max="18" width="0.38"/>
    <col customWidth="1" min="20" max="20" width="0.38"/>
    <col customWidth="1" min="22" max="22" width="0.38"/>
  </cols>
  <sheetData>
    <row r="1">
      <c r="A1" s="157" t="s">
        <v>17</v>
      </c>
      <c r="B1" s="158"/>
      <c r="C1" s="159" t="s">
        <v>1397</v>
      </c>
      <c r="D1" s="160" t="s">
        <v>1398</v>
      </c>
      <c r="E1" s="161"/>
      <c r="F1" s="162" t="s">
        <v>1399</v>
      </c>
      <c r="G1" s="163"/>
      <c r="H1" s="162" t="s">
        <v>1400</v>
      </c>
      <c r="I1" s="163"/>
      <c r="J1" s="162" t="s">
        <v>1401</v>
      </c>
      <c r="K1" s="163"/>
      <c r="L1" s="162" t="s">
        <v>1402</v>
      </c>
      <c r="M1" s="163"/>
      <c r="N1" s="164" t="s">
        <v>1403</v>
      </c>
      <c r="O1" s="163"/>
      <c r="P1" s="165" t="s">
        <v>1404</v>
      </c>
      <c r="Q1" s="163"/>
      <c r="R1" s="166" t="s">
        <v>1405</v>
      </c>
      <c r="S1" s="163"/>
      <c r="T1" s="167" t="s">
        <v>1406</v>
      </c>
      <c r="U1" s="163"/>
      <c r="V1" s="158"/>
      <c r="W1" s="168" t="s">
        <v>1388</v>
      </c>
      <c r="X1" s="169" t="s">
        <v>1389</v>
      </c>
      <c r="Y1" s="170" t="s">
        <v>1390</v>
      </c>
      <c r="Z1" s="171" t="s">
        <v>1391</v>
      </c>
      <c r="AA1" s="172" t="s">
        <v>1392</v>
      </c>
      <c r="AB1" s="173" t="s">
        <v>1393</v>
      </c>
      <c r="AC1" s="174" t="s">
        <v>1394</v>
      </c>
      <c r="AD1" s="159" t="s">
        <v>1395</v>
      </c>
    </row>
    <row r="2">
      <c r="A2" s="61" t="s">
        <v>1407</v>
      </c>
      <c r="B2" s="158"/>
      <c r="C2" s="175">
        <v>7.500002E7</v>
      </c>
      <c r="D2" s="175">
        <f t="shared" ref="D2:D4" si="1">2*11328</f>
        <v>22656</v>
      </c>
      <c r="E2" s="161"/>
      <c r="F2" s="176">
        <v>100.0</v>
      </c>
      <c r="G2" s="175">
        <v>0.0</v>
      </c>
      <c r="H2" s="176">
        <v>100.0</v>
      </c>
      <c r="I2" s="175">
        <v>0.0</v>
      </c>
      <c r="J2" s="176">
        <v>100.0</v>
      </c>
      <c r="K2" s="175">
        <v>0.0</v>
      </c>
      <c r="L2" s="176">
        <v>100.0</v>
      </c>
      <c r="M2" s="175">
        <v>-10.0</v>
      </c>
      <c r="N2" s="176">
        <v>100.0</v>
      </c>
      <c r="O2" s="175">
        <v>0.0</v>
      </c>
      <c r="P2" s="176">
        <v>100.0</v>
      </c>
      <c r="Q2" s="175">
        <v>50.0</v>
      </c>
      <c r="R2" s="176">
        <v>100.0</v>
      </c>
      <c r="S2" s="175">
        <v>0.0</v>
      </c>
      <c r="T2" s="176">
        <v>100.0</v>
      </c>
      <c r="U2" s="175">
        <v>-35.0</v>
      </c>
      <c r="V2" s="158"/>
      <c r="W2" s="176">
        <v>542.0</v>
      </c>
      <c r="X2" s="176">
        <v>252.0</v>
      </c>
      <c r="Y2" s="176">
        <v>252.0</v>
      </c>
      <c r="Z2" s="176">
        <v>542.0</v>
      </c>
      <c r="AA2" s="176">
        <v>154.0</v>
      </c>
      <c r="AB2" s="176" t="s">
        <v>1408</v>
      </c>
      <c r="AC2" s="176" t="s">
        <v>1408</v>
      </c>
      <c r="AD2" s="175">
        <f t="shared" ref="AD2:AD4" si="2">120/0.55</f>
        <v>218.1818182</v>
      </c>
    </row>
    <row r="3">
      <c r="A3" s="177" t="s">
        <v>1409</v>
      </c>
      <c r="B3" s="158"/>
      <c r="C3" s="178">
        <v>7.500202E7</v>
      </c>
      <c r="D3" s="175">
        <f t="shared" si="1"/>
        <v>22656</v>
      </c>
      <c r="E3" s="161"/>
      <c r="F3" s="176">
        <v>100.0</v>
      </c>
      <c r="G3" s="175">
        <v>0.0</v>
      </c>
      <c r="H3" s="176">
        <v>100.0</v>
      </c>
      <c r="I3" s="175">
        <v>0.0</v>
      </c>
      <c r="J3" s="176">
        <v>100.0</v>
      </c>
      <c r="K3" s="175">
        <v>0.0</v>
      </c>
      <c r="L3" s="176">
        <v>100.0</v>
      </c>
      <c r="M3" s="175">
        <v>-10.0</v>
      </c>
      <c r="N3" s="176">
        <v>100.0</v>
      </c>
      <c r="O3" s="175">
        <v>0.0</v>
      </c>
      <c r="P3" s="176">
        <v>100.0</v>
      </c>
      <c r="Q3" s="175">
        <v>50.0</v>
      </c>
      <c r="R3" s="176">
        <v>100.0</v>
      </c>
      <c r="S3" s="175">
        <v>0.0</v>
      </c>
      <c r="T3" s="176">
        <v>100.0</v>
      </c>
      <c r="U3" s="175">
        <v>-35.0</v>
      </c>
      <c r="V3" s="158"/>
      <c r="W3" s="176">
        <v>542.0</v>
      </c>
      <c r="X3" s="176">
        <v>252.0</v>
      </c>
      <c r="Y3" s="176">
        <v>252.0</v>
      </c>
      <c r="Z3" s="176">
        <v>542.0</v>
      </c>
      <c r="AA3" s="176">
        <v>154.0</v>
      </c>
      <c r="AB3" s="176" t="s">
        <v>1408</v>
      </c>
      <c r="AC3" s="176" t="s">
        <v>1408</v>
      </c>
      <c r="AD3" s="175">
        <f t="shared" si="2"/>
        <v>218.1818182</v>
      </c>
    </row>
    <row r="4">
      <c r="A4" s="177" t="s">
        <v>1409</v>
      </c>
      <c r="B4" s="158"/>
      <c r="C4" s="179">
        <v>7.500302E7</v>
      </c>
      <c r="D4" s="175">
        <f t="shared" si="1"/>
        <v>22656</v>
      </c>
      <c r="E4" s="161"/>
      <c r="F4" s="176">
        <v>100.0</v>
      </c>
      <c r="G4" s="175">
        <v>0.0</v>
      </c>
      <c r="H4" s="176">
        <v>100.0</v>
      </c>
      <c r="I4" s="175">
        <v>0.0</v>
      </c>
      <c r="J4" s="176">
        <v>100.0</v>
      </c>
      <c r="K4" s="175">
        <v>0.0</v>
      </c>
      <c r="L4" s="176">
        <v>100.0</v>
      </c>
      <c r="M4" s="175">
        <v>-10.0</v>
      </c>
      <c r="N4" s="176">
        <v>100.0</v>
      </c>
      <c r="O4" s="175">
        <v>0.0</v>
      </c>
      <c r="P4" s="176">
        <v>100.0</v>
      </c>
      <c r="Q4" s="175">
        <v>50.0</v>
      </c>
      <c r="R4" s="176">
        <v>100.0</v>
      </c>
      <c r="S4" s="175">
        <v>0.0</v>
      </c>
      <c r="T4" s="176">
        <v>100.0</v>
      </c>
      <c r="U4" s="175">
        <v>-35.0</v>
      </c>
      <c r="V4" s="158"/>
      <c r="W4" s="176">
        <v>542.0</v>
      </c>
      <c r="X4" s="176">
        <v>252.0</v>
      </c>
      <c r="Y4" s="176">
        <v>252.0</v>
      </c>
      <c r="Z4" s="176">
        <v>542.0</v>
      </c>
      <c r="AA4" s="176">
        <v>154.0</v>
      </c>
      <c r="AB4" s="176" t="s">
        <v>1408</v>
      </c>
      <c r="AC4" s="176" t="s">
        <v>1408</v>
      </c>
      <c r="AD4" s="175">
        <f t="shared" si="2"/>
        <v>218.1818182</v>
      </c>
    </row>
    <row r="5">
      <c r="A5" s="61" t="s">
        <v>1410</v>
      </c>
      <c r="B5" s="158"/>
      <c r="C5" s="175">
        <v>7.510002E7</v>
      </c>
      <c r="D5" s="178">
        <f>2*13140</f>
        <v>26280</v>
      </c>
      <c r="E5" s="161"/>
      <c r="F5" s="176">
        <v>100.0</v>
      </c>
      <c r="G5" s="175">
        <v>0.0</v>
      </c>
      <c r="H5" s="176">
        <v>100.0</v>
      </c>
      <c r="I5" s="175">
        <v>0.0</v>
      </c>
      <c r="J5" s="176">
        <v>100.0</v>
      </c>
      <c r="K5" s="175">
        <v>0.0</v>
      </c>
      <c r="L5" s="176">
        <v>100.0</v>
      </c>
      <c r="M5" s="175">
        <v>0.0</v>
      </c>
      <c r="N5" s="176">
        <v>100.0</v>
      </c>
      <c r="O5" s="175">
        <v>0.0</v>
      </c>
      <c r="P5" s="176">
        <v>100.0</v>
      </c>
      <c r="Q5" s="175">
        <v>20.0</v>
      </c>
      <c r="R5" s="176">
        <v>100.0</v>
      </c>
      <c r="S5" s="175">
        <v>50.0</v>
      </c>
      <c r="T5" s="176">
        <v>100.0</v>
      </c>
      <c r="U5" s="175">
        <v>0.0</v>
      </c>
      <c r="V5" s="158"/>
      <c r="W5" s="176">
        <v>154.0</v>
      </c>
      <c r="X5" s="176">
        <v>154.0</v>
      </c>
      <c r="Y5" s="176">
        <v>542.0</v>
      </c>
      <c r="Z5" s="179">
        <v>154.0</v>
      </c>
      <c r="AA5" s="176">
        <v>154.0</v>
      </c>
      <c r="AB5" s="176" t="s">
        <v>1408</v>
      </c>
      <c r="AC5" s="176" t="s">
        <v>1408</v>
      </c>
      <c r="AD5" s="175">
        <f>150/0.55</f>
        <v>272.7272727</v>
      </c>
    </row>
    <row r="6">
      <c r="A6" s="177" t="s">
        <v>1411</v>
      </c>
      <c r="B6" s="158"/>
      <c r="C6" s="175">
        <v>7.520002E7</v>
      </c>
      <c r="D6" s="178">
        <f t="shared" ref="D6:D9" si="3">2*13027</f>
        <v>26054</v>
      </c>
      <c r="E6" s="161"/>
      <c r="F6" s="176">
        <v>100.0</v>
      </c>
      <c r="G6" s="175">
        <v>-15.0</v>
      </c>
      <c r="H6" s="176">
        <v>100.0</v>
      </c>
      <c r="I6" s="175">
        <v>-15.0</v>
      </c>
      <c r="J6" s="176">
        <v>100.0</v>
      </c>
      <c r="K6" s="175">
        <v>-25.0</v>
      </c>
      <c r="L6" s="176">
        <v>100.0</v>
      </c>
      <c r="M6" s="175">
        <v>-25.0</v>
      </c>
      <c r="N6" s="176">
        <v>100.0</v>
      </c>
      <c r="O6" s="175">
        <v>50.0</v>
      </c>
      <c r="P6" s="176">
        <v>100.0</v>
      </c>
      <c r="Q6" s="175">
        <v>-40.0</v>
      </c>
      <c r="R6" s="176">
        <v>100.0</v>
      </c>
      <c r="S6" s="175">
        <v>10.0</v>
      </c>
      <c r="T6" s="176">
        <v>100.0</v>
      </c>
      <c r="U6" s="175">
        <v>10.0</v>
      </c>
      <c r="V6" s="158"/>
      <c r="W6" s="176">
        <v>542.0</v>
      </c>
      <c r="X6" s="176">
        <v>154.0</v>
      </c>
      <c r="Y6" s="176">
        <v>154.0</v>
      </c>
      <c r="Z6" s="176">
        <v>154.0</v>
      </c>
      <c r="AA6" s="176">
        <v>542.0</v>
      </c>
      <c r="AB6" s="176" t="s">
        <v>1408</v>
      </c>
      <c r="AC6" s="176" t="s">
        <v>1408</v>
      </c>
      <c r="AD6" s="175">
        <f t="shared" ref="AD6:AD7" si="4">100/0.55</f>
        <v>181.8181818</v>
      </c>
    </row>
    <row r="7">
      <c r="A7" s="177" t="s">
        <v>1412</v>
      </c>
      <c r="B7" s="158"/>
      <c r="C7" s="178">
        <v>7.520011E7</v>
      </c>
      <c r="D7" s="178">
        <f t="shared" si="3"/>
        <v>26054</v>
      </c>
      <c r="E7" s="161"/>
      <c r="F7" s="176">
        <v>100.0</v>
      </c>
      <c r="G7" s="175">
        <v>-15.0</v>
      </c>
      <c r="H7" s="176">
        <v>100.0</v>
      </c>
      <c r="I7" s="175">
        <v>-15.0</v>
      </c>
      <c r="J7" s="176">
        <v>100.0</v>
      </c>
      <c r="K7" s="175">
        <v>-25.0</v>
      </c>
      <c r="L7" s="176">
        <v>100.0</v>
      </c>
      <c r="M7" s="175">
        <v>-25.0</v>
      </c>
      <c r="N7" s="176">
        <v>100.0</v>
      </c>
      <c r="O7" s="175">
        <v>50.0</v>
      </c>
      <c r="P7" s="176">
        <v>100.0</v>
      </c>
      <c r="Q7" s="175">
        <v>-40.0</v>
      </c>
      <c r="R7" s="176">
        <v>100.0</v>
      </c>
      <c r="S7" s="175">
        <v>10.0</v>
      </c>
      <c r="T7" s="176">
        <v>100.0</v>
      </c>
      <c r="U7" s="175">
        <v>10.0</v>
      </c>
      <c r="V7" s="158"/>
      <c r="W7" s="176">
        <v>542.0</v>
      </c>
      <c r="X7" s="176">
        <v>154.0</v>
      </c>
      <c r="Y7" s="176">
        <v>154.0</v>
      </c>
      <c r="Z7" s="176">
        <v>154.0</v>
      </c>
      <c r="AA7" s="176">
        <v>542.0</v>
      </c>
      <c r="AB7" s="176" t="s">
        <v>1408</v>
      </c>
      <c r="AC7" s="176" t="s">
        <v>1408</v>
      </c>
      <c r="AD7" s="175">
        <f t="shared" si="4"/>
        <v>181.8181818</v>
      </c>
    </row>
    <row r="8">
      <c r="A8" s="177" t="s">
        <v>1413</v>
      </c>
      <c r="B8" s="158"/>
      <c r="C8" s="178">
        <v>7.530001E7</v>
      </c>
      <c r="D8" s="178">
        <f t="shared" si="3"/>
        <v>26054</v>
      </c>
      <c r="E8" s="161"/>
      <c r="F8" s="176">
        <v>100.0</v>
      </c>
      <c r="G8" s="175">
        <v>10.0</v>
      </c>
      <c r="H8" s="176">
        <v>100.0</v>
      </c>
      <c r="I8" s="175">
        <v>-20.0</v>
      </c>
      <c r="J8" s="176">
        <v>100.0</v>
      </c>
      <c r="K8" s="175">
        <v>20.0</v>
      </c>
      <c r="L8" s="176">
        <v>100.0</v>
      </c>
      <c r="M8" s="175">
        <v>-10.0</v>
      </c>
      <c r="N8" s="176">
        <v>100.0</v>
      </c>
      <c r="O8" s="175">
        <v>10.0</v>
      </c>
      <c r="P8" s="176">
        <v>100.0</v>
      </c>
      <c r="Q8" s="175">
        <v>-35.0</v>
      </c>
      <c r="R8" s="176">
        <v>100.0</v>
      </c>
      <c r="S8" s="175">
        <v>10.0</v>
      </c>
      <c r="T8" s="176">
        <v>100.0</v>
      </c>
      <c r="U8" s="175">
        <v>10.0</v>
      </c>
      <c r="V8" s="158"/>
      <c r="W8" s="176">
        <v>252.0</v>
      </c>
      <c r="X8" s="176">
        <v>154.0</v>
      </c>
      <c r="Y8" s="176">
        <v>154.0</v>
      </c>
      <c r="Z8" s="176">
        <v>154.0</v>
      </c>
      <c r="AA8" s="176">
        <v>154.0</v>
      </c>
      <c r="AB8" s="176" t="s">
        <v>1408</v>
      </c>
      <c r="AC8" s="176" t="s">
        <v>1408</v>
      </c>
      <c r="AD8" s="175">
        <f t="shared" ref="AD8:AD10" si="5">150/0.55</f>
        <v>272.7272727</v>
      </c>
    </row>
    <row r="9">
      <c r="A9" s="177" t="s">
        <v>1414</v>
      </c>
      <c r="B9" s="158"/>
      <c r="C9" s="178">
        <v>7.530011E7</v>
      </c>
      <c r="D9" s="178">
        <f t="shared" si="3"/>
        <v>26054</v>
      </c>
      <c r="E9" s="161"/>
      <c r="F9" s="176">
        <v>100.0</v>
      </c>
      <c r="G9" s="175">
        <v>10.0</v>
      </c>
      <c r="H9" s="176">
        <v>100.0</v>
      </c>
      <c r="I9" s="175">
        <v>-20.0</v>
      </c>
      <c r="J9" s="176">
        <v>100.0</v>
      </c>
      <c r="K9" s="175">
        <v>20.0</v>
      </c>
      <c r="L9" s="176">
        <v>100.0</v>
      </c>
      <c r="M9" s="175">
        <v>-10.0</v>
      </c>
      <c r="N9" s="176">
        <v>100.0</v>
      </c>
      <c r="O9" s="175">
        <v>10.0</v>
      </c>
      <c r="P9" s="176">
        <v>100.0</v>
      </c>
      <c r="Q9" s="175">
        <v>-35.0</v>
      </c>
      <c r="R9" s="176">
        <v>100.0</v>
      </c>
      <c r="S9" s="175">
        <v>10.0</v>
      </c>
      <c r="T9" s="176">
        <v>100.0</v>
      </c>
      <c r="U9" s="175">
        <v>10.0</v>
      </c>
      <c r="V9" s="158"/>
      <c r="W9" s="176">
        <v>252.0</v>
      </c>
      <c r="X9" s="176">
        <v>154.0</v>
      </c>
      <c r="Y9" s="176">
        <v>154.0</v>
      </c>
      <c r="Z9" s="176">
        <v>154.0</v>
      </c>
      <c r="AA9" s="176">
        <v>154.0</v>
      </c>
      <c r="AB9" s="176" t="s">
        <v>1408</v>
      </c>
      <c r="AC9" s="176" t="s">
        <v>1408</v>
      </c>
      <c r="AD9" s="175">
        <f t="shared" si="5"/>
        <v>272.7272727</v>
      </c>
    </row>
    <row r="10">
      <c r="A10" s="61" t="s">
        <v>1415</v>
      </c>
      <c r="B10" s="158"/>
      <c r="C10" s="175">
        <v>7.540002E7</v>
      </c>
      <c r="D10" s="178">
        <f>2*12687</f>
        <v>25374</v>
      </c>
      <c r="E10" s="161"/>
      <c r="F10" s="176">
        <v>100.0</v>
      </c>
      <c r="G10" s="175">
        <v>0.0</v>
      </c>
      <c r="H10" s="176">
        <v>100.0</v>
      </c>
      <c r="I10" s="175">
        <v>20.0</v>
      </c>
      <c r="J10" s="176">
        <v>100.0</v>
      </c>
      <c r="K10" s="175">
        <v>-15.0</v>
      </c>
      <c r="L10" s="176">
        <v>100.0</v>
      </c>
      <c r="M10" s="175">
        <v>10.0</v>
      </c>
      <c r="N10" s="176">
        <v>100.0</v>
      </c>
      <c r="O10" s="175">
        <v>20.0</v>
      </c>
      <c r="P10" s="176">
        <v>100.0</v>
      </c>
      <c r="Q10" s="175">
        <v>50.0</v>
      </c>
      <c r="R10" s="176">
        <v>100.0</v>
      </c>
      <c r="S10" s="175">
        <v>-40.0</v>
      </c>
      <c r="T10" s="176">
        <v>100.0</v>
      </c>
      <c r="U10" s="175">
        <v>15.0</v>
      </c>
      <c r="V10" s="158"/>
      <c r="W10" s="176" t="s">
        <v>1408</v>
      </c>
      <c r="X10" s="176">
        <v>252.0</v>
      </c>
      <c r="Y10" s="176" t="s">
        <v>1408</v>
      </c>
      <c r="Z10" s="176">
        <v>252.0</v>
      </c>
      <c r="AA10" s="176" t="s">
        <v>1408</v>
      </c>
      <c r="AB10" s="176" t="s">
        <v>1408</v>
      </c>
      <c r="AC10" s="176" t="s">
        <v>1408</v>
      </c>
      <c r="AD10" s="175">
        <f t="shared" si="5"/>
        <v>272.7272727</v>
      </c>
    </row>
    <row r="11">
      <c r="A11" s="61" t="s">
        <v>1416</v>
      </c>
      <c r="B11" s="158"/>
      <c r="C11" s="178">
        <v>7.560002E7</v>
      </c>
      <c r="D11" s="175">
        <f>2*13048</f>
        <v>26096</v>
      </c>
      <c r="E11" s="161"/>
      <c r="F11" s="176">
        <v>100.0</v>
      </c>
      <c r="G11" s="175">
        <v>0.0</v>
      </c>
      <c r="H11" s="176">
        <v>100.0</v>
      </c>
      <c r="I11" s="175">
        <v>0.0</v>
      </c>
      <c r="J11" s="176">
        <v>100.0</v>
      </c>
      <c r="K11" s="175">
        <v>-10.0</v>
      </c>
      <c r="L11" s="176">
        <v>100.0</v>
      </c>
      <c r="M11" s="175">
        <v>0.0</v>
      </c>
      <c r="N11" s="176">
        <v>100.0</v>
      </c>
      <c r="O11" s="175">
        <v>20.0</v>
      </c>
      <c r="P11" s="176">
        <v>100.0</v>
      </c>
      <c r="Q11" s="175">
        <v>-20.0</v>
      </c>
      <c r="R11" s="176">
        <v>100.0</v>
      </c>
      <c r="S11" s="175">
        <v>0.0</v>
      </c>
      <c r="T11" s="176">
        <v>100.0</v>
      </c>
      <c r="U11" s="175">
        <v>-35.0</v>
      </c>
      <c r="V11" s="158"/>
      <c r="W11" s="176">
        <v>154.0</v>
      </c>
      <c r="X11" s="176">
        <v>154.0</v>
      </c>
      <c r="Y11" s="176">
        <v>252.0</v>
      </c>
      <c r="Z11" s="176">
        <v>252.0</v>
      </c>
      <c r="AA11" s="176" t="s">
        <v>1408</v>
      </c>
      <c r="AB11" s="176">
        <v>154.0</v>
      </c>
      <c r="AC11" s="176" t="s">
        <v>1408</v>
      </c>
      <c r="AD11" s="175">
        <f>120/0.55</f>
        <v>218.1818182</v>
      </c>
    </row>
    <row r="12">
      <c r="A12" s="61" t="s">
        <v>1417</v>
      </c>
      <c r="B12" s="158"/>
      <c r="C12" s="175">
        <v>7.600001E7</v>
      </c>
      <c r="D12" s="175">
        <f>2*11894</f>
        <v>23788</v>
      </c>
      <c r="E12" s="161"/>
      <c r="F12" s="176">
        <v>100.0</v>
      </c>
      <c r="G12" s="175">
        <v>0.0</v>
      </c>
      <c r="H12" s="176">
        <v>100.0</v>
      </c>
      <c r="I12" s="175">
        <v>0.0</v>
      </c>
      <c r="J12" s="176">
        <v>100.0</v>
      </c>
      <c r="K12" s="175">
        <v>0.0</v>
      </c>
      <c r="L12" s="176">
        <v>100.0</v>
      </c>
      <c r="M12" s="175">
        <v>0.0</v>
      </c>
      <c r="N12" s="176">
        <v>100.0</v>
      </c>
      <c r="O12" s="176">
        <v>0.0</v>
      </c>
      <c r="P12" s="176">
        <v>100.0</v>
      </c>
      <c r="Q12" s="175">
        <v>0.0</v>
      </c>
      <c r="R12" s="176">
        <v>100.0</v>
      </c>
      <c r="S12" s="175">
        <v>-20.0</v>
      </c>
      <c r="T12" s="176">
        <v>100.0</v>
      </c>
      <c r="U12" s="175">
        <v>30.0</v>
      </c>
      <c r="V12" s="158"/>
      <c r="W12" s="176">
        <v>154.0</v>
      </c>
      <c r="X12" s="176">
        <v>154.0</v>
      </c>
      <c r="Y12" s="176">
        <v>154.0</v>
      </c>
      <c r="Z12" s="176">
        <v>154.0</v>
      </c>
      <c r="AA12" s="176">
        <v>154.0</v>
      </c>
      <c r="AB12" s="176" t="s">
        <v>1408</v>
      </c>
      <c r="AC12" s="176" t="s">
        <v>1408</v>
      </c>
      <c r="AD12" s="175">
        <f>155/0.55</f>
        <v>281.8181818</v>
      </c>
    </row>
    <row r="13">
      <c r="A13" s="61" t="s">
        <v>1418</v>
      </c>
      <c r="B13" s="158"/>
      <c r="C13" s="175">
        <v>4.900001E7</v>
      </c>
      <c r="D13" s="175">
        <f>2*12008</f>
        <v>24016</v>
      </c>
      <c r="E13" s="161"/>
      <c r="F13" s="176">
        <v>100.0</v>
      </c>
      <c r="G13" s="175">
        <v>0.0</v>
      </c>
      <c r="H13" s="176">
        <v>100.0</v>
      </c>
      <c r="I13" s="175">
        <v>-15.0</v>
      </c>
      <c r="J13" s="176">
        <v>100.0</v>
      </c>
      <c r="K13" s="175">
        <v>15.0</v>
      </c>
      <c r="L13" s="176">
        <v>100.0</v>
      </c>
      <c r="M13" s="175">
        <v>10.0</v>
      </c>
      <c r="N13" s="176">
        <v>100.0</v>
      </c>
      <c r="O13" s="175">
        <v>20.0</v>
      </c>
      <c r="P13" s="176">
        <v>100.0</v>
      </c>
      <c r="Q13" s="175">
        <v>-35.0</v>
      </c>
      <c r="R13" s="176">
        <v>100.0</v>
      </c>
      <c r="S13" s="175">
        <v>20.0</v>
      </c>
      <c r="T13" s="176">
        <v>100.0</v>
      </c>
      <c r="U13" s="175">
        <v>20.0</v>
      </c>
      <c r="V13" s="158"/>
      <c r="W13" s="176">
        <v>252.0</v>
      </c>
      <c r="X13" s="176">
        <v>252.0</v>
      </c>
      <c r="Y13" s="176">
        <v>252.0</v>
      </c>
      <c r="Z13" s="176">
        <v>542.0</v>
      </c>
      <c r="AA13" s="176">
        <v>542.0</v>
      </c>
      <c r="AB13" s="176" t="s">
        <v>1408</v>
      </c>
      <c r="AC13" s="176" t="s">
        <v>1408</v>
      </c>
      <c r="AD13" s="175">
        <f>160/0.55</f>
        <v>290.9090909</v>
      </c>
    </row>
    <row r="14">
      <c r="A14" s="61" t="s">
        <v>1419</v>
      </c>
      <c r="B14" s="158"/>
      <c r="C14" s="175">
        <v>7.620001E7</v>
      </c>
      <c r="D14" s="180" t="s">
        <v>1420</v>
      </c>
      <c r="E14" s="161"/>
      <c r="F14" s="2"/>
      <c r="G14" s="175">
        <v>0.0</v>
      </c>
      <c r="H14" s="2"/>
      <c r="I14" s="175">
        <v>-10.0</v>
      </c>
      <c r="J14" s="2"/>
      <c r="K14" s="175">
        <v>8.0</v>
      </c>
      <c r="L14" s="2"/>
      <c r="M14" s="175">
        <v>0.0</v>
      </c>
      <c r="N14" s="2"/>
      <c r="O14" s="176">
        <v>0.0</v>
      </c>
      <c r="P14" s="2"/>
      <c r="Q14" s="175">
        <v>8.0</v>
      </c>
      <c r="R14" s="2"/>
      <c r="S14" s="175">
        <v>10.0</v>
      </c>
      <c r="T14" s="2"/>
      <c r="U14" s="175">
        <v>30.0</v>
      </c>
      <c r="V14" s="158"/>
      <c r="W14" s="176">
        <v>252.0</v>
      </c>
      <c r="X14" s="176">
        <v>252.0</v>
      </c>
      <c r="Y14" s="176">
        <v>252.0</v>
      </c>
      <c r="Z14" s="176">
        <v>252.0</v>
      </c>
      <c r="AA14" s="176">
        <v>84.0</v>
      </c>
      <c r="AB14" s="176" t="s">
        <v>1408</v>
      </c>
      <c r="AC14" s="176" t="s">
        <v>1408</v>
      </c>
      <c r="AD14" s="175">
        <f>75/0.55</f>
        <v>136.3636364</v>
      </c>
    </row>
    <row r="15">
      <c r="A15" s="61" t="s">
        <v>1421</v>
      </c>
      <c r="B15" s="158"/>
      <c r="C15" s="175">
        <v>7.610001E7</v>
      </c>
      <c r="D15" s="175">
        <f t="shared" ref="D15:D16" si="6">11554*2</f>
        <v>23108</v>
      </c>
      <c r="E15" s="161"/>
      <c r="F15" s="2"/>
      <c r="G15" s="175">
        <v>0.0</v>
      </c>
      <c r="H15" s="2"/>
      <c r="I15" s="175">
        <v>0.0</v>
      </c>
      <c r="J15" s="2"/>
      <c r="K15" s="175">
        <v>-10.0</v>
      </c>
      <c r="L15" s="2"/>
      <c r="M15" s="175">
        <v>-10.0</v>
      </c>
      <c r="N15" s="2"/>
      <c r="O15" s="176">
        <v>0.0</v>
      </c>
      <c r="P15" s="2"/>
      <c r="Q15" s="175">
        <v>-20.0</v>
      </c>
      <c r="R15" s="2"/>
      <c r="S15" s="175">
        <v>10.0</v>
      </c>
      <c r="T15" s="2"/>
      <c r="U15" s="175">
        <v>-25.0</v>
      </c>
      <c r="V15" s="158"/>
      <c r="W15" s="176">
        <v>542.0</v>
      </c>
      <c r="X15" s="176">
        <v>542.0</v>
      </c>
      <c r="Y15" s="176">
        <v>252.0</v>
      </c>
      <c r="Z15" s="176">
        <v>252.0</v>
      </c>
      <c r="AA15" s="176">
        <v>252.0</v>
      </c>
      <c r="AB15" s="176" t="s">
        <v>1408</v>
      </c>
      <c r="AC15" s="176" t="s">
        <v>1408</v>
      </c>
      <c r="AD15" s="175">
        <f t="shared" ref="AD15:AD16" si="7">150/0.55</f>
        <v>272.7272727</v>
      </c>
    </row>
    <row r="16">
      <c r="A16" s="61" t="s">
        <v>1422</v>
      </c>
      <c r="B16" s="158"/>
      <c r="C16" s="175">
        <v>7.610001E7</v>
      </c>
      <c r="D16" s="175">
        <f t="shared" si="6"/>
        <v>23108</v>
      </c>
      <c r="E16" s="161"/>
      <c r="F16" s="2"/>
      <c r="G16" s="175">
        <v>0.0</v>
      </c>
      <c r="H16" s="2"/>
      <c r="I16" s="175">
        <v>0.0</v>
      </c>
      <c r="J16" s="2"/>
      <c r="K16" s="175">
        <v>-10.0</v>
      </c>
      <c r="L16" s="2"/>
      <c r="M16" s="175">
        <v>-10.0</v>
      </c>
      <c r="N16" s="2"/>
      <c r="O16" s="176">
        <v>0.0</v>
      </c>
      <c r="P16" s="2"/>
      <c r="Q16" s="175">
        <v>-20.0</v>
      </c>
      <c r="R16" s="2"/>
      <c r="S16" s="175">
        <v>10.0</v>
      </c>
      <c r="T16" s="2"/>
      <c r="U16" s="175">
        <v>-25.0</v>
      </c>
      <c r="V16" s="158"/>
      <c r="W16" s="176">
        <v>542.0</v>
      </c>
      <c r="X16" s="176">
        <v>542.0</v>
      </c>
      <c r="Y16" s="176">
        <v>252.0</v>
      </c>
      <c r="Z16" s="176">
        <v>252.0</v>
      </c>
      <c r="AA16" s="176">
        <v>252.0</v>
      </c>
      <c r="AB16" s="176" t="s">
        <v>1408</v>
      </c>
      <c r="AC16" s="176" t="s">
        <v>1408</v>
      </c>
      <c r="AD16" s="175">
        <f t="shared" si="7"/>
        <v>272.7272727</v>
      </c>
    </row>
    <row r="17">
      <c r="A17" s="61" t="s">
        <v>1423</v>
      </c>
      <c r="B17" s="158"/>
      <c r="C17" s="175">
        <v>7.580001E7</v>
      </c>
      <c r="D17" s="175">
        <f>2*4985</f>
        <v>9970</v>
      </c>
      <c r="E17" s="161"/>
      <c r="F17" s="176">
        <v>100.0</v>
      </c>
      <c r="G17" s="175">
        <v>0.0</v>
      </c>
      <c r="H17" s="176">
        <v>100.0</v>
      </c>
      <c r="I17" s="175">
        <v>10.0</v>
      </c>
      <c r="J17" s="176">
        <v>100.0</v>
      </c>
      <c r="K17" s="175">
        <v>-15.0</v>
      </c>
      <c r="L17" s="176">
        <v>100.0</v>
      </c>
      <c r="M17" s="175">
        <v>-10.0</v>
      </c>
      <c r="N17" s="176">
        <v>100.0</v>
      </c>
      <c r="O17" s="175">
        <v>0.0</v>
      </c>
      <c r="P17" s="176">
        <v>100.0</v>
      </c>
      <c r="Q17" s="175">
        <v>-20.0</v>
      </c>
      <c r="R17" s="176">
        <v>100.0</v>
      </c>
      <c r="S17" s="175">
        <v>0.0</v>
      </c>
      <c r="T17" s="176">
        <v>100.0</v>
      </c>
      <c r="U17" s="175">
        <v>-35.0</v>
      </c>
      <c r="V17" s="158"/>
      <c r="W17" s="176" t="s">
        <v>1408</v>
      </c>
      <c r="X17" s="176">
        <v>252.0</v>
      </c>
      <c r="Y17" s="176" t="s">
        <v>1408</v>
      </c>
      <c r="Z17" s="176" t="s">
        <v>1408</v>
      </c>
      <c r="AA17" s="176">
        <v>542.0</v>
      </c>
      <c r="AB17" s="176" t="s">
        <v>1408</v>
      </c>
      <c r="AC17" s="176" t="s">
        <v>1408</v>
      </c>
      <c r="AD17" s="175">
        <f t="shared" ref="AD17:AD18" si="8">130/0.55</f>
        <v>236.3636364</v>
      </c>
    </row>
    <row r="18">
      <c r="A18" s="61" t="s">
        <v>1424</v>
      </c>
      <c r="B18" s="158"/>
      <c r="C18" s="175">
        <v>7.580201E7</v>
      </c>
      <c r="D18" s="175">
        <f>2*10196</f>
        <v>20392</v>
      </c>
      <c r="E18" s="161"/>
      <c r="F18" s="176">
        <v>100.0</v>
      </c>
      <c r="G18" s="175">
        <v>0.0</v>
      </c>
      <c r="H18" s="176">
        <v>100.0</v>
      </c>
      <c r="I18" s="175">
        <v>-10.0</v>
      </c>
      <c r="J18" s="176">
        <v>100.0</v>
      </c>
      <c r="K18" s="175">
        <v>10.0</v>
      </c>
      <c r="L18" s="176">
        <v>100.0</v>
      </c>
      <c r="M18" s="175">
        <v>-15.0</v>
      </c>
      <c r="N18" s="176">
        <v>100.0</v>
      </c>
      <c r="O18" s="175">
        <v>0.0</v>
      </c>
      <c r="P18" s="176">
        <v>100.0</v>
      </c>
      <c r="Q18" s="175">
        <v>0.0</v>
      </c>
      <c r="R18" s="176">
        <v>100.0</v>
      </c>
      <c r="S18" s="175">
        <v>-20.0</v>
      </c>
      <c r="T18" s="176">
        <v>100.0</v>
      </c>
      <c r="U18" s="175">
        <v>-30.0</v>
      </c>
      <c r="V18" s="158"/>
      <c r="W18" s="176" t="s">
        <v>1408</v>
      </c>
      <c r="X18" s="176">
        <v>252.0</v>
      </c>
      <c r="Y18" s="176" t="s">
        <v>1408</v>
      </c>
      <c r="Z18" s="176" t="s">
        <v>1408</v>
      </c>
      <c r="AA18" s="176">
        <v>542.0</v>
      </c>
      <c r="AB18" s="176" t="s">
        <v>1408</v>
      </c>
      <c r="AC18" s="176" t="s">
        <v>1408</v>
      </c>
      <c r="AD18" s="175">
        <f t="shared" si="8"/>
        <v>236.3636364</v>
      </c>
    </row>
    <row r="19" ht="1.5" customHeight="1">
      <c r="A19" s="181"/>
      <c r="B19" s="182"/>
      <c r="C19" s="159"/>
      <c r="D19" s="183"/>
      <c r="E19" s="184"/>
      <c r="F19" s="185"/>
      <c r="G19" s="186"/>
      <c r="H19" s="185"/>
      <c r="I19" s="186"/>
      <c r="J19" s="185"/>
      <c r="K19" s="186"/>
      <c r="L19" s="185"/>
      <c r="M19" s="186"/>
      <c r="N19" s="188"/>
      <c r="O19" s="189"/>
      <c r="P19" s="190"/>
      <c r="Q19" s="191"/>
      <c r="R19" s="192"/>
      <c r="S19" s="193"/>
      <c r="T19" s="194"/>
      <c r="U19" s="195"/>
      <c r="V19" s="182"/>
      <c r="W19" s="196"/>
      <c r="X19" s="197"/>
      <c r="Y19" s="198"/>
      <c r="Z19" s="199"/>
      <c r="AA19" s="200"/>
      <c r="AB19" s="201"/>
      <c r="AC19" s="202"/>
      <c r="AD19" s="203"/>
    </row>
  </sheetData>
  <mergeCells count="8">
    <mergeCell ref="F1:G1"/>
    <mergeCell ref="H1:I1"/>
    <mergeCell ref="J1:K1"/>
    <mergeCell ref="L1:M1"/>
    <mergeCell ref="N1:O1"/>
    <mergeCell ref="P1:Q1"/>
    <mergeCell ref="R1:S1"/>
    <mergeCell ref="T1:U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3.75"/>
    <col customWidth="1" min="2" max="2" width="0.38"/>
    <col customWidth="1" min="5" max="6" width="0.38"/>
    <col customWidth="1" min="8" max="8" width="0.38"/>
    <col customWidth="1" min="10" max="10" width="0.38"/>
    <col customWidth="1" min="12" max="12" width="0.38"/>
    <col customWidth="1" min="14" max="14" width="0.38"/>
    <col customWidth="1" min="16" max="16" width="0.38"/>
    <col customWidth="1" min="18" max="18" width="0.38"/>
    <col customWidth="1" min="20" max="20" width="0.38"/>
    <col customWidth="1" min="22" max="22" width="0.38"/>
  </cols>
  <sheetData>
    <row r="1">
      <c r="A1" s="157" t="s">
        <v>17</v>
      </c>
      <c r="B1" s="158"/>
      <c r="C1" s="159" t="s">
        <v>1397</v>
      </c>
      <c r="D1" s="160" t="s">
        <v>1398</v>
      </c>
      <c r="E1" s="161"/>
      <c r="F1" s="162" t="s">
        <v>1399</v>
      </c>
      <c r="G1" s="163"/>
      <c r="H1" s="162" t="s">
        <v>1400</v>
      </c>
      <c r="I1" s="163"/>
      <c r="J1" s="162" t="s">
        <v>1401</v>
      </c>
      <c r="K1" s="163"/>
      <c r="L1" s="162" t="s">
        <v>1402</v>
      </c>
      <c r="M1" s="163"/>
      <c r="N1" s="164" t="s">
        <v>1403</v>
      </c>
      <c r="O1" s="163"/>
      <c r="P1" s="165" t="s">
        <v>1404</v>
      </c>
      <c r="Q1" s="163"/>
      <c r="R1" s="166" t="s">
        <v>1405</v>
      </c>
      <c r="S1" s="163"/>
      <c r="T1" s="167" t="s">
        <v>1406</v>
      </c>
      <c r="U1" s="163"/>
      <c r="V1" s="158"/>
      <c r="W1" s="168" t="s">
        <v>1388</v>
      </c>
      <c r="X1" s="169" t="s">
        <v>1389</v>
      </c>
      <c r="Y1" s="170" t="s">
        <v>1390</v>
      </c>
      <c r="Z1" s="171" t="s">
        <v>1391</v>
      </c>
      <c r="AA1" s="172" t="s">
        <v>1392</v>
      </c>
      <c r="AB1" s="173" t="s">
        <v>1393</v>
      </c>
      <c r="AC1" s="174" t="s">
        <v>1394</v>
      </c>
      <c r="AD1" s="159" t="s">
        <v>1395</v>
      </c>
    </row>
    <row r="2">
      <c r="A2" s="61" t="s">
        <v>1407</v>
      </c>
      <c r="B2" s="158"/>
      <c r="C2" s="175">
        <v>7.500002E7</v>
      </c>
      <c r="D2" s="175">
        <f t="shared" ref="D2:D4" si="1">3*11328</f>
        <v>33984</v>
      </c>
      <c r="E2" s="161"/>
      <c r="F2" s="176">
        <v>100.0</v>
      </c>
      <c r="G2" s="175">
        <v>0.0</v>
      </c>
      <c r="H2" s="176">
        <v>100.0</v>
      </c>
      <c r="I2" s="175">
        <v>0.0</v>
      </c>
      <c r="J2" s="176">
        <v>100.0</v>
      </c>
      <c r="K2" s="175">
        <v>0.0</v>
      </c>
      <c r="L2" s="176">
        <v>100.0</v>
      </c>
      <c r="M2" s="175">
        <v>-10.0</v>
      </c>
      <c r="N2" s="176">
        <v>100.0</v>
      </c>
      <c r="O2" s="175">
        <v>0.0</v>
      </c>
      <c r="P2" s="176">
        <v>100.0</v>
      </c>
      <c r="Q2" s="175">
        <v>50.0</v>
      </c>
      <c r="R2" s="176">
        <v>100.0</v>
      </c>
      <c r="S2" s="175">
        <v>0.0</v>
      </c>
      <c r="T2" s="176">
        <v>100.0</v>
      </c>
      <c r="U2" s="175">
        <v>-35.0</v>
      </c>
      <c r="V2" s="158"/>
      <c r="W2" s="176">
        <v>542.0</v>
      </c>
      <c r="X2" s="176">
        <v>252.0</v>
      </c>
      <c r="Y2" s="176">
        <v>252.0</v>
      </c>
      <c r="Z2" s="176">
        <v>542.0</v>
      </c>
      <c r="AA2" s="176">
        <v>154.0</v>
      </c>
      <c r="AB2" s="176" t="s">
        <v>1408</v>
      </c>
      <c r="AC2" s="176" t="s">
        <v>1408</v>
      </c>
      <c r="AD2" s="175">
        <f t="shared" ref="AD2:AD4" si="2">120/0.3</f>
        <v>400</v>
      </c>
    </row>
    <row r="3">
      <c r="A3" s="177" t="s">
        <v>1409</v>
      </c>
      <c r="B3" s="158"/>
      <c r="C3" s="178">
        <v>7.500202E7</v>
      </c>
      <c r="D3" s="175">
        <f t="shared" si="1"/>
        <v>33984</v>
      </c>
      <c r="E3" s="161"/>
      <c r="F3" s="176">
        <v>100.0</v>
      </c>
      <c r="G3" s="175">
        <v>0.0</v>
      </c>
      <c r="H3" s="176">
        <v>100.0</v>
      </c>
      <c r="I3" s="175">
        <v>0.0</v>
      </c>
      <c r="J3" s="176">
        <v>100.0</v>
      </c>
      <c r="K3" s="175">
        <v>0.0</v>
      </c>
      <c r="L3" s="176">
        <v>100.0</v>
      </c>
      <c r="M3" s="175">
        <v>-10.0</v>
      </c>
      <c r="N3" s="176">
        <v>100.0</v>
      </c>
      <c r="O3" s="175">
        <v>0.0</v>
      </c>
      <c r="P3" s="176">
        <v>100.0</v>
      </c>
      <c r="Q3" s="175">
        <v>50.0</v>
      </c>
      <c r="R3" s="176">
        <v>100.0</v>
      </c>
      <c r="S3" s="175">
        <v>0.0</v>
      </c>
      <c r="T3" s="176">
        <v>100.0</v>
      </c>
      <c r="U3" s="175">
        <v>-35.0</v>
      </c>
      <c r="V3" s="158"/>
      <c r="W3" s="176">
        <v>542.0</v>
      </c>
      <c r="X3" s="176">
        <v>252.0</v>
      </c>
      <c r="Y3" s="176">
        <v>252.0</v>
      </c>
      <c r="Z3" s="176">
        <v>542.0</v>
      </c>
      <c r="AA3" s="176">
        <v>154.0</v>
      </c>
      <c r="AB3" s="176" t="s">
        <v>1408</v>
      </c>
      <c r="AC3" s="176" t="s">
        <v>1408</v>
      </c>
      <c r="AD3" s="175">
        <f t="shared" si="2"/>
        <v>400</v>
      </c>
    </row>
    <row r="4">
      <c r="A4" s="177" t="s">
        <v>1409</v>
      </c>
      <c r="B4" s="158"/>
      <c r="C4" s="179">
        <v>7.500302E7</v>
      </c>
      <c r="D4" s="175">
        <f t="shared" si="1"/>
        <v>33984</v>
      </c>
      <c r="E4" s="161"/>
      <c r="F4" s="176">
        <v>100.0</v>
      </c>
      <c r="G4" s="175">
        <v>0.0</v>
      </c>
      <c r="H4" s="176">
        <v>100.0</v>
      </c>
      <c r="I4" s="175">
        <v>0.0</v>
      </c>
      <c r="J4" s="176">
        <v>100.0</v>
      </c>
      <c r="K4" s="175">
        <v>0.0</v>
      </c>
      <c r="L4" s="176">
        <v>100.0</v>
      </c>
      <c r="M4" s="175">
        <v>-10.0</v>
      </c>
      <c r="N4" s="176">
        <v>100.0</v>
      </c>
      <c r="O4" s="175">
        <v>0.0</v>
      </c>
      <c r="P4" s="176">
        <v>100.0</v>
      </c>
      <c r="Q4" s="175">
        <v>50.0</v>
      </c>
      <c r="R4" s="176">
        <v>100.0</v>
      </c>
      <c r="S4" s="175">
        <v>0.0</v>
      </c>
      <c r="T4" s="176">
        <v>100.0</v>
      </c>
      <c r="U4" s="175">
        <v>-35.0</v>
      </c>
      <c r="V4" s="158"/>
      <c r="W4" s="176">
        <v>542.0</v>
      </c>
      <c r="X4" s="176">
        <v>252.0</v>
      </c>
      <c r="Y4" s="176">
        <v>252.0</v>
      </c>
      <c r="Z4" s="176">
        <v>542.0</v>
      </c>
      <c r="AA4" s="176">
        <v>154.0</v>
      </c>
      <c r="AB4" s="176" t="s">
        <v>1408</v>
      </c>
      <c r="AC4" s="176" t="s">
        <v>1408</v>
      </c>
      <c r="AD4" s="175">
        <f t="shared" si="2"/>
        <v>400</v>
      </c>
    </row>
    <row r="5">
      <c r="A5" s="61" t="s">
        <v>1410</v>
      </c>
      <c r="B5" s="158"/>
      <c r="C5" s="175">
        <v>7.510002E7</v>
      </c>
      <c r="D5" s="178">
        <f>3*13140</f>
        <v>39420</v>
      </c>
      <c r="E5" s="161"/>
      <c r="F5" s="176">
        <v>100.0</v>
      </c>
      <c r="G5" s="175">
        <v>0.0</v>
      </c>
      <c r="H5" s="176">
        <v>100.0</v>
      </c>
      <c r="I5" s="175">
        <v>0.0</v>
      </c>
      <c r="J5" s="176">
        <v>100.0</v>
      </c>
      <c r="K5" s="175">
        <v>0.0</v>
      </c>
      <c r="L5" s="176">
        <v>100.0</v>
      </c>
      <c r="M5" s="175">
        <v>0.0</v>
      </c>
      <c r="N5" s="176">
        <v>100.0</v>
      </c>
      <c r="O5" s="175">
        <v>0.0</v>
      </c>
      <c r="P5" s="176">
        <v>100.0</v>
      </c>
      <c r="Q5" s="175">
        <v>20.0</v>
      </c>
      <c r="R5" s="176">
        <v>100.0</v>
      </c>
      <c r="S5" s="175">
        <v>50.0</v>
      </c>
      <c r="T5" s="176">
        <v>100.0</v>
      </c>
      <c r="U5" s="175">
        <v>0.0</v>
      </c>
      <c r="V5" s="158"/>
      <c r="W5" s="176">
        <v>154.0</v>
      </c>
      <c r="X5" s="176">
        <v>154.0</v>
      </c>
      <c r="Y5" s="176">
        <v>542.0</v>
      </c>
      <c r="Z5" s="179">
        <v>154.0</v>
      </c>
      <c r="AA5" s="176">
        <v>154.0</v>
      </c>
      <c r="AB5" s="176" t="s">
        <v>1408</v>
      </c>
      <c r="AC5" s="176" t="s">
        <v>1408</v>
      </c>
      <c r="AD5" s="175">
        <f>150/0.3</f>
        <v>500</v>
      </c>
    </row>
    <row r="6">
      <c r="A6" s="177" t="s">
        <v>1411</v>
      </c>
      <c r="B6" s="158"/>
      <c r="C6" s="175">
        <v>7.520002E7</v>
      </c>
      <c r="D6" s="178">
        <f t="shared" ref="D6:D9" si="3">3*13027</f>
        <v>39081</v>
      </c>
      <c r="E6" s="161"/>
      <c r="F6" s="176">
        <v>100.0</v>
      </c>
      <c r="G6" s="175">
        <v>-15.0</v>
      </c>
      <c r="H6" s="176">
        <v>100.0</v>
      </c>
      <c r="I6" s="175">
        <v>-15.0</v>
      </c>
      <c r="J6" s="176">
        <v>100.0</v>
      </c>
      <c r="K6" s="175">
        <v>-25.0</v>
      </c>
      <c r="L6" s="176">
        <v>100.0</v>
      </c>
      <c r="M6" s="175">
        <v>-25.0</v>
      </c>
      <c r="N6" s="176">
        <v>100.0</v>
      </c>
      <c r="O6" s="175">
        <v>50.0</v>
      </c>
      <c r="P6" s="176">
        <v>100.0</v>
      </c>
      <c r="Q6" s="175">
        <v>-40.0</v>
      </c>
      <c r="R6" s="176">
        <v>100.0</v>
      </c>
      <c r="S6" s="175">
        <v>10.0</v>
      </c>
      <c r="T6" s="176">
        <v>100.0</v>
      </c>
      <c r="U6" s="175">
        <v>10.0</v>
      </c>
      <c r="V6" s="158"/>
      <c r="W6" s="176">
        <v>542.0</v>
      </c>
      <c r="X6" s="176">
        <v>154.0</v>
      </c>
      <c r="Y6" s="176">
        <v>154.0</v>
      </c>
      <c r="Z6" s="176">
        <v>154.0</v>
      </c>
      <c r="AA6" s="176">
        <v>542.0</v>
      </c>
      <c r="AB6" s="176" t="s">
        <v>1408</v>
      </c>
      <c r="AC6" s="176" t="s">
        <v>1408</v>
      </c>
      <c r="AD6" s="175">
        <f t="shared" ref="AD6:AD7" si="4">100/0.3</f>
        <v>333.3333333</v>
      </c>
    </row>
    <row r="7">
      <c r="A7" s="177" t="s">
        <v>1412</v>
      </c>
      <c r="B7" s="158"/>
      <c r="C7" s="178">
        <v>7.520011E7</v>
      </c>
      <c r="D7" s="178">
        <f t="shared" si="3"/>
        <v>39081</v>
      </c>
      <c r="E7" s="161"/>
      <c r="F7" s="176">
        <v>100.0</v>
      </c>
      <c r="G7" s="175">
        <v>-15.0</v>
      </c>
      <c r="H7" s="176">
        <v>100.0</v>
      </c>
      <c r="I7" s="175">
        <v>-15.0</v>
      </c>
      <c r="J7" s="176">
        <v>100.0</v>
      </c>
      <c r="K7" s="175">
        <v>-25.0</v>
      </c>
      <c r="L7" s="176">
        <v>100.0</v>
      </c>
      <c r="M7" s="175">
        <v>-25.0</v>
      </c>
      <c r="N7" s="176">
        <v>100.0</v>
      </c>
      <c r="O7" s="175">
        <v>50.0</v>
      </c>
      <c r="P7" s="176">
        <v>100.0</v>
      </c>
      <c r="Q7" s="175">
        <v>-40.0</v>
      </c>
      <c r="R7" s="176">
        <v>100.0</v>
      </c>
      <c r="S7" s="175">
        <v>10.0</v>
      </c>
      <c r="T7" s="176">
        <v>100.0</v>
      </c>
      <c r="U7" s="175">
        <v>10.0</v>
      </c>
      <c r="V7" s="158"/>
      <c r="W7" s="176">
        <v>542.0</v>
      </c>
      <c r="X7" s="176">
        <v>154.0</v>
      </c>
      <c r="Y7" s="176">
        <v>154.0</v>
      </c>
      <c r="Z7" s="176">
        <v>154.0</v>
      </c>
      <c r="AA7" s="176">
        <v>542.0</v>
      </c>
      <c r="AB7" s="176" t="s">
        <v>1408</v>
      </c>
      <c r="AC7" s="176" t="s">
        <v>1408</v>
      </c>
      <c r="AD7" s="175">
        <f t="shared" si="4"/>
        <v>333.3333333</v>
      </c>
    </row>
    <row r="8">
      <c r="A8" s="177" t="s">
        <v>1413</v>
      </c>
      <c r="B8" s="158"/>
      <c r="C8" s="178">
        <v>7.530001E7</v>
      </c>
      <c r="D8" s="178">
        <f t="shared" si="3"/>
        <v>39081</v>
      </c>
      <c r="E8" s="161"/>
      <c r="F8" s="176">
        <v>100.0</v>
      </c>
      <c r="G8" s="175">
        <v>10.0</v>
      </c>
      <c r="H8" s="176">
        <v>100.0</v>
      </c>
      <c r="I8" s="175">
        <v>-20.0</v>
      </c>
      <c r="J8" s="176">
        <v>100.0</v>
      </c>
      <c r="K8" s="175">
        <v>20.0</v>
      </c>
      <c r="L8" s="176">
        <v>100.0</v>
      </c>
      <c r="M8" s="175">
        <v>-10.0</v>
      </c>
      <c r="N8" s="176">
        <v>100.0</v>
      </c>
      <c r="O8" s="175">
        <v>10.0</v>
      </c>
      <c r="P8" s="176">
        <v>100.0</v>
      </c>
      <c r="Q8" s="175">
        <v>-35.0</v>
      </c>
      <c r="R8" s="176">
        <v>100.0</v>
      </c>
      <c r="S8" s="175">
        <v>10.0</v>
      </c>
      <c r="T8" s="176">
        <v>100.0</v>
      </c>
      <c r="U8" s="175">
        <v>10.0</v>
      </c>
      <c r="V8" s="158"/>
      <c r="W8" s="176">
        <v>252.0</v>
      </c>
      <c r="X8" s="176">
        <v>154.0</v>
      </c>
      <c r="Y8" s="176">
        <v>154.0</v>
      </c>
      <c r="Z8" s="176">
        <v>154.0</v>
      </c>
      <c r="AA8" s="176">
        <v>154.0</v>
      </c>
      <c r="AB8" s="176" t="s">
        <v>1408</v>
      </c>
      <c r="AC8" s="176" t="s">
        <v>1408</v>
      </c>
      <c r="AD8" s="175">
        <f t="shared" ref="AD8:AD10" si="5">150/0.3</f>
        <v>500</v>
      </c>
    </row>
    <row r="9">
      <c r="A9" s="177" t="s">
        <v>1414</v>
      </c>
      <c r="B9" s="158"/>
      <c r="C9" s="178">
        <v>7.530011E7</v>
      </c>
      <c r="D9" s="178">
        <f t="shared" si="3"/>
        <v>39081</v>
      </c>
      <c r="E9" s="161"/>
      <c r="F9" s="176">
        <v>100.0</v>
      </c>
      <c r="G9" s="175">
        <v>10.0</v>
      </c>
      <c r="H9" s="176">
        <v>100.0</v>
      </c>
      <c r="I9" s="175">
        <v>-20.0</v>
      </c>
      <c r="J9" s="176">
        <v>100.0</v>
      </c>
      <c r="K9" s="175">
        <v>20.0</v>
      </c>
      <c r="L9" s="176">
        <v>100.0</v>
      </c>
      <c r="M9" s="175">
        <v>-10.0</v>
      </c>
      <c r="N9" s="176">
        <v>100.0</v>
      </c>
      <c r="O9" s="175">
        <v>10.0</v>
      </c>
      <c r="P9" s="176">
        <v>100.0</v>
      </c>
      <c r="Q9" s="175">
        <v>-35.0</v>
      </c>
      <c r="R9" s="176">
        <v>100.0</v>
      </c>
      <c r="S9" s="175">
        <v>10.0</v>
      </c>
      <c r="T9" s="176">
        <v>100.0</v>
      </c>
      <c r="U9" s="175">
        <v>10.0</v>
      </c>
      <c r="V9" s="158"/>
      <c r="W9" s="176">
        <v>252.0</v>
      </c>
      <c r="X9" s="176">
        <v>154.0</v>
      </c>
      <c r="Y9" s="176">
        <v>154.0</v>
      </c>
      <c r="Z9" s="176">
        <v>154.0</v>
      </c>
      <c r="AA9" s="176">
        <v>154.0</v>
      </c>
      <c r="AB9" s="176" t="s">
        <v>1408</v>
      </c>
      <c r="AC9" s="176" t="s">
        <v>1408</v>
      </c>
      <c r="AD9" s="175">
        <f t="shared" si="5"/>
        <v>500</v>
      </c>
    </row>
    <row r="10">
      <c r="A10" s="61" t="s">
        <v>1415</v>
      </c>
      <c r="B10" s="158"/>
      <c r="C10" s="175">
        <v>7.540002E7</v>
      </c>
      <c r="D10" s="178">
        <f>3*12687</f>
        <v>38061</v>
      </c>
      <c r="E10" s="161"/>
      <c r="F10" s="176">
        <v>100.0</v>
      </c>
      <c r="G10" s="175">
        <v>0.0</v>
      </c>
      <c r="H10" s="176">
        <v>100.0</v>
      </c>
      <c r="I10" s="175">
        <v>20.0</v>
      </c>
      <c r="J10" s="176">
        <v>100.0</v>
      </c>
      <c r="K10" s="175">
        <v>-15.0</v>
      </c>
      <c r="L10" s="176">
        <v>100.0</v>
      </c>
      <c r="M10" s="175">
        <v>10.0</v>
      </c>
      <c r="N10" s="176">
        <v>100.0</v>
      </c>
      <c r="O10" s="175">
        <v>20.0</v>
      </c>
      <c r="P10" s="176">
        <v>100.0</v>
      </c>
      <c r="Q10" s="175">
        <v>50.0</v>
      </c>
      <c r="R10" s="176">
        <v>100.0</v>
      </c>
      <c r="S10" s="175">
        <v>-40.0</v>
      </c>
      <c r="T10" s="176">
        <v>100.0</v>
      </c>
      <c r="U10" s="175">
        <v>15.0</v>
      </c>
      <c r="V10" s="158"/>
      <c r="W10" s="176" t="s">
        <v>1408</v>
      </c>
      <c r="X10" s="176">
        <v>252.0</v>
      </c>
      <c r="Y10" s="176" t="s">
        <v>1408</v>
      </c>
      <c r="Z10" s="176">
        <v>252.0</v>
      </c>
      <c r="AA10" s="176" t="s">
        <v>1408</v>
      </c>
      <c r="AB10" s="176" t="s">
        <v>1408</v>
      </c>
      <c r="AC10" s="176" t="s">
        <v>1408</v>
      </c>
      <c r="AD10" s="175">
        <f t="shared" si="5"/>
        <v>500</v>
      </c>
    </row>
    <row r="11">
      <c r="A11" s="61" t="s">
        <v>1416</v>
      </c>
      <c r="B11" s="158"/>
      <c r="C11" s="178">
        <v>7.560002E7</v>
      </c>
      <c r="D11" s="175">
        <f>3*13048</f>
        <v>39144</v>
      </c>
      <c r="E11" s="161"/>
      <c r="F11" s="176">
        <v>100.0</v>
      </c>
      <c r="G11" s="175">
        <v>0.0</v>
      </c>
      <c r="H11" s="176">
        <v>100.0</v>
      </c>
      <c r="I11" s="175">
        <v>0.0</v>
      </c>
      <c r="J11" s="176">
        <v>100.0</v>
      </c>
      <c r="K11" s="175">
        <v>-10.0</v>
      </c>
      <c r="L11" s="176">
        <v>100.0</v>
      </c>
      <c r="M11" s="175">
        <v>0.0</v>
      </c>
      <c r="N11" s="176">
        <v>100.0</v>
      </c>
      <c r="O11" s="175">
        <v>20.0</v>
      </c>
      <c r="P11" s="176">
        <v>100.0</v>
      </c>
      <c r="Q11" s="175">
        <v>-20.0</v>
      </c>
      <c r="R11" s="176">
        <v>100.0</v>
      </c>
      <c r="S11" s="175">
        <v>0.0</v>
      </c>
      <c r="T11" s="176">
        <v>100.0</v>
      </c>
      <c r="U11" s="175">
        <v>-35.0</v>
      </c>
      <c r="V11" s="158"/>
      <c r="W11" s="176">
        <v>154.0</v>
      </c>
      <c r="X11" s="176">
        <v>154.0</v>
      </c>
      <c r="Y11" s="176">
        <v>252.0</v>
      </c>
      <c r="Z11" s="176">
        <v>252.0</v>
      </c>
      <c r="AA11" s="176" t="s">
        <v>1408</v>
      </c>
      <c r="AB11" s="176">
        <v>154.0</v>
      </c>
      <c r="AC11" s="176" t="s">
        <v>1408</v>
      </c>
      <c r="AD11" s="175">
        <f>120/0.3</f>
        <v>400</v>
      </c>
    </row>
    <row r="12">
      <c r="A12" s="61" t="s">
        <v>1417</v>
      </c>
      <c r="B12" s="158"/>
      <c r="C12" s="175">
        <v>7.600001E7</v>
      </c>
      <c r="D12" s="175">
        <f>3*11894</f>
        <v>35682</v>
      </c>
      <c r="E12" s="161"/>
      <c r="F12" s="176">
        <v>100.0</v>
      </c>
      <c r="G12" s="175">
        <v>0.0</v>
      </c>
      <c r="H12" s="176">
        <v>100.0</v>
      </c>
      <c r="I12" s="175">
        <v>0.0</v>
      </c>
      <c r="J12" s="176">
        <v>100.0</v>
      </c>
      <c r="K12" s="175">
        <v>0.0</v>
      </c>
      <c r="L12" s="176">
        <v>100.0</v>
      </c>
      <c r="M12" s="175">
        <v>0.0</v>
      </c>
      <c r="N12" s="176">
        <v>100.0</v>
      </c>
      <c r="O12" s="176">
        <v>0.0</v>
      </c>
      <c r="P12" s="176">
        <v>100.0</v>
      </c>
      <c r="Q12" s="175">
        <v>0.0</v>
      </c>
      <c r="R12" s="176">
        <v>100.0</v>
      </c>
      <c r="S12" s="175">
        <v>-20.0</v>
      </c>
      <c r="T12" s="176">
        <v>100.0</v>
      </c>
      <c r="U12" s="175">
        <v>30.0</v>
      </c>
      <c r="V12" s="158"/>
      <c r="W12" s="176">
        <v>154.0</v>
      </c>
      <c r="X12" s="176">
        <v>154.0</v>
      </c>
      <c r="Y12" s="176">
        <v>154.0</v>
      </c>
      <c r="Z12" s="176">
        <v>154.0</v>
      </c>
      <c r="AA12" s="176">
        <v>154.0</v>
      </c>
      <c r="AB12" s="176" t="s">
        <v>1408</v>
      </c>
      <c r="AC12" s="176" t="s">
        <v>1408</v>
      </c>
      <c r="AD12" s="175">
        <f>155/0.3</f>
        <v>516.6666667</v>
      </c>
    </row>
    <row r="13">
      <c r="A13" s="61" t="s">
        <v>1418</v>
      </c>
      <c r="B13" s="158"/>
      <c r="C13" s="175">
        <v>4.900001E7</v>
      </c>
      <c r="D13" s="175">
        <f>3*12008</f>
        <v>36024</v>
      </c>
      <c r="E13" s="161"/>
      <c r="F13" s="176">
        <v>100.0</v>
      </c>
      <c r="G13" s="175">
        <v>0.0</v>
      </c>
      <c r="H13" s="176">
        <v>100.0</v>
      </c>
      <c r="I13" s="175">
        <v>-15.0</v>
      </c>
      <c r="J13" s="176">
        <v>100.0</v>
      </c>
      <c r="K13" s="175">
        <v>15.0</v>
      </c>
      <c r="L13" s="176">
        <v>100.0</v>
      </c>
      <c r="M13" s="175">
        <v>10.0</v>
      </c>
      <c r="N13" s="176">
        <v>100.0</v>
      </c>
      <c r="O13" s="175">
        <v>20.0</v>
      </c>
      <c r="P13" s="176">
        <v>100.0</v>
      </c>
      <c r="Q13" s="175">
        <v>-35.0</v>
      </c>
      <c r="R13" s="176">
        <v>100.0</v>
      </c>
      <c r="S13" s="175">
        <v>20.0</v>
      </c>
      <c r="T13" s="176">
        <v>100.0</v>
      </c>
      <c r="U13" s="175">
        <v>20.0</v>
      </c>
      <c r="V13" s="158"/>
      <c r="W13" s="176">
        <v>252.0</v>
      </c>
      <c r="X13" s="176">
        <v>252.0</v>
      </c>
      <c r="Y13" s="176">
        <v>252.0</v>
      </c>
      <c r="Z13" s="176">
        <v>542.0</v>
      </c>
      <c r="AA13" s="176">
        <v>542.0</v>
      </c>
      <c r="AB13" s="176" t="s">
        <v>1408</v>
      </c>
      <c r="AC13" s="176" t="s">
        <v>1408</v>
      </c>
      <c r="AD13" s="175">
        <f>160/0.3</f>
        <v>533.3333333</v>
      </c>
    </row>
    <row r="14">
      <c r="A14" s="61" t="s">
        <v>1419</v>
      </c>
      <c r="B14" s="158"/>
      <c r="C14" s="175">
        <v>7.620001E7</v>
      </c>
      <c r="D14" s="180" t="s">
        <v>1420</v>
      </c>
      <c r="E14" s="161"/>
      <c r="F14" s="2"/>
      <c r="G14" s="175">
        <v>0.0</v>
      </c>
      <c r="H14" s="2"/>
      <c r="I14" s="175">
        <v>-10.0</v>
      </c>
      <c r="J14" s="2"/>
      <c r="K14" s="175">
        <v>8.0</v>
      </c>
      <c r="L14" s="2"/>
      <c r="M14" s="175">
        <v>0.0</v>
      </c>
      <c r="N14" s="2"/>
      <c r="O14" s="176">
        <v>0.0</v>
      </c>
      <c r="P14" s="2"/>
      <c r="Q14" s="175">
        <v>8.0</v>
      </c>
      <c r="R14" s="2"/>
      <c r="S14" s="175">
        <v>10.0</v>
      </c>
      <c r="T14" s="2"/>
      <c r="U14" s="175">
        <v>30.0</v>
      </c>
      <c r="V14" s="158"/>
      <c r="W14" s="176">
        <v>252.0</v>
      </c>
      <c r="X14" s="176">
        <v>252.0</v>
      </c>
      <c r="Y14" s="176">
        <v>252.0</v>
      </c>
      <c r="Z14" s="176">
        <v>252.0</v>
      </c>
      <c r="AA14" s="176">
        <v>84.0</v>
      </c>
      <c r="AB14" s="176" t="s">
        <v>1408</v>
      </c>
      <c r="AC14" s="176" t="s">
        <v>1408</v>
      </c>
      <c r="AD14" s="175">
        <f>75/0.3</f>
        <v>250</v>
      </c>
    </row>
    <row r="15">
      <c r="A15" s="61" t="s">
        <v>1421</v>
      </c>
      <c r="B15" s="158"/>
      <c r="C15" s="175">
        <v>7.610001E7</v>
      </c>
      <c r="D15" s="175">
        <f t="shared" ref="D15:D16" si="6">11554*3</f>
        <v>34662</v>
      </c>
      <c r="E15" s="161"/>
      <c r="F15" s="2"/>
      <c r="G15" s="175">
        <v>0.0</v>
      </c>
      <c r="H15" s="2"/>
      <c r="I15" s="175">
        <v>0.0</v>
      </c>
      <c r="J15" s="2"/>
      <c r="K15" s="175">
        <v>-10.0</v>
      </c>
      <c r="L15" s="2"/>
      <c r="M15" s="175">
        <v>-10.0</v>
      </c>
      <c r="N15" s="2"/>
      <c r="O15" s="176">
        <v>0.0</v>
      </c>
      <c r="P15" s="2"/>
      <c r="Q15" s="175">
        <v>-20.0</v>
      </c>
      <c r="R15" s="2"/>
      <c r="S15" s="175">
        <v>10.0</v>
      </c>
      <c r="T15" s="2"/>
      <c r="U15" s="175">
        <v>-25.0</v>
      </c>
      <c r="V15" s="158"/>
      <c r="W15" s="176">
        <v>542.0</v>
      </c>
      <c r="X15" s="176">
        <v>542.0</v>
      </c>
      <c r="Y15" s="176">
        <v>252.0</v>
      </c>
      <c r="Z15" s="176">
        <v>252.0</v>
      </c>
      <c r="AA15" s="176">
        <v>252.0</v>
      </c>
      <c r="AB15" s="176" t="s">
        <v>1408</v>
      </c>
      <c r="AC15" s="176" t="s">
        <v>1408</v>
      </c>
      <c r="AD15" s="175">
        <f t="shared" ref="AD15:AD16" si="7">150/0.3</f>
        <v>500</v>
      </c>
    </row>
    <row r="16">
      <c r="A16" s="61" t="s">
        <v>1422</v>
      </c>
      <c r="B16" s="158"/>
      <c r="C16" s="175">
        <v>7.610001E7</v>
      </c>
      <c r="D16" s="175">
        <f t="shared" si="6"/>
        <v>34662</v>
      </c>
      <c r="E16" s="161"/>
      <c r="F16" s="2"/>
      <c r="G16" s="175">
        <v>0.0</v>
      </c>
      <c r="H16" s="2"/>
      <c r="I16" s="175">
        <v>0.0</v>
      </c>
      <c r="J16" s="2"/>
      <c r="K16" s="175">
        <v>-10.0</v>
      </c>
      <c r="L16" s="2"/>
      <c r="M16" s="175">
        <v>-10.0</v>
      </c>
      <c r="N16" s="2"/>
      <c r="O16" s="176">
        <v>0.0</v>
      </c>
      <c r="P16" s="2"/>
      <c r="Q16" s="175">
        <v>-20.0</v>
      </c>
      <c r="R16" s="2"/>
      <c r="S16" s="175">
        <v>10.0</v>
      </c>
      <c r="T16" s="2"/>
      <c r="U16" s="175">
        <v>-25.0</v>
      </c>
      <c r="V16" s="158"/>
      <c r="W16" s="176">
        <v>542.0</v>
      </c>
      <c r="X16" s="176">
        <v>542.0</v>
      </c>
      <c r="Y16" s="176">
        <v>252.0</v>
      </c>
      <c r="Z16" s="176">
        <v>252.0</v>
      </c>
      <c r="AA16" s="176">
        <v>252.0</v>
      </c>
      <c r="AB16" s="176" t="s">
        <v>1408</v>
      </c>
      <c r="AC16" s="176" t="s">
        <v>1408</v>
      </c>
      <c r="AD16" s="175">
        <f t="shared" si="7"/>
        <v>500</v>
      </c>
    </row>
    <row r="17">
      <c r="A17" s="61" t="s">
        <v>1423</v>
      </c>
      <c r="B17" s="158"/>
      <c r="C17" s="175">
        <v>7.580001E7</v>
      </c>
      <c r="D17" s="175">
        <f>3*4985</f>
        <v>14955</v>
      </c>
      <c r="E17" s="161"/>
      <c r="F17" s="176">
        <v>100.0</v>
      </c>
      <c r="G17" s="175">
        <v>0.0</v>
      </c>
      <c r="H17" s="176">
        <v>100.0</v>
      </c>
      <c r="I17" s="175">
        <v>10.0</v>
      </c>
      <c r="J17" s="176">
        <v>100.0</v>
      </c>
      <c r="K17" s="175">
        <v>-15.0</v>
      </c>
      <c r="L17" s="176">
        <v>100.0</v>
      </c>
      <c r="M17" s="175">
        <v>-10.0</v>
      </c>
      <c r="N17" s="176">
        <v>100.0</v>
      </c>
      <c r="O17" s="175">
        <v>0.0</v>
      </c>
      <c r="P17" s="176">
        <v>100.0</v>
      </c>
      <c r="Q17" s="175">
        <v>-20.0</v>
      </c>
      <c r="R17" s="176">
        <v>100.0</v>
      </c>
      <c r="S17" s="175">
        <v>0.0</v>
      </c>
      <c r="T17" s="176">
        <v>100.0</v>
      </c>
      <c r="U17" s="175">
        <v>-35.0</v>
      </c>
      <c r="V17" s="158"/>
      <c r="W17" s="176" t="s">
        <v>1408</v>
      </c>
      <c r="X17" s="176">
        <v>252.0</v>
      </c>
      <c r="Y17" s="176" t="s">
        <v>1408</v>
      </c>
      <c r="Z17" s="176" t="s">
        <v>1408</v>
      </c>
      <c r="AA17" s="176">
        <v>542.0</v>
      </c>
      <c r="AB17" s="176" t="s">
        <v>1408</v>
      </c>
      <c r="AC17" s="176" t="s">
        <v>1408</v>
      </c>
      <c r="AD17" s="175">
        <f t="shared" ref="AD17:AD18" si="8">130/0.3</f>
        <v>433.3333333</v>
      </c>
    </row>
    <row r="18">
      <c r="A18" s="61" t="s">
        <v>1424</v>
      </c>
      <c r="B18" s="158"/>
      <c r="C18" s="175">
        <v>7.580201E7</v>
      </c>
      <c r="D18" s="175">
        <f>3*10196</f>
        <v>30588</v>
      </c>
      <c r="E18" s="161"/>
      <c r="F18" s="176">
        <v>100.0</v>
      </c>
      <c r="G18" s="175">
        <v>0.0</v>
      </c>
      <c r="H18" s="176">
        <v>100.0</v>
      </c>
      <c r="I18" s="175">
        <v>-10.0</v>
      </c>
      <c r="J18" s="176">
        <v>100.0</v>
      </c>
      <c r="K18" s="175">
        <v>10.0</v>
      </c>
      <c r="L18" s="176">
        <v>100.0</v>
      </c>
      <c r="M18" s="175">
        <v>-15.0</v>
      </c>
      <c r="N18" s="176">
        <v>100.0</v>
      </c>
      <c r="O18" s="175">
        <v>0.0</v>
      </c>
      <c r="P18" s="176">
        <v>100.0</v>
      </c>
      <c r="Q18" s="175">
        <v>0.0</v>
      </c>
      <c r="R18" s="176">
        <v>100.0</v>
      </c>
      <c r="S18" s="175">
        <v>-20.0</v>
      </c>
      <c r="T18" s="176">
        <v>100.0</v>
      </c>
      <c r="U18" s="175">
        <v>-30.0</v>
      </c>
      <c r="V18" s="158"/>
      <c r="W18" s="176" t="s">
        <v>1408</v>
      </c>
      <c r="X18" s="176">
        <v>252.0</v>
      </c>
      <c r="Y18" s="176" t="s">
        <v>1408</v>
      </c>
      <c r="Z18" s="176" t="s">
        <v>1408</v>
      </c>
      <c r="AA18" s="176">
        <v>542.0</v>
      </c>
      <c r="AB18" s="176" t="s">
        <v>1408</v>
      </c>
      <c r="AC18" s="176" t="s">
        <v>1408</v>
      </c>
      <c r="AD18" s="175">
        <f t="shared" si="8"/>
        <v>433.3333333</v>
      </c>
    </row>
    <row r="19" ht="1.5" customHeight="1">
      <c r="A19" s="181"/>
      <c r="B19" s="182"/>
      <c r="C19" s="159"/>
      <c r="D19" s="183"/>
      <c r="E19" s="184"/>
      <c r="F19" s="185"/>
      <c r="G19" s="186"/>
      <c r="H19" s="185"/>
      <c r="I19" s="186"/>
      <c r="J19" s="185"/>
      <c r="K19" s="186"/>
      <c r="L19" s="185"/>
      <c r="M19" s="186"/>
      <c r="N19" s="188"/>
      <c r="O19" s="189"/>
      <c r="P19" s="190"/>
      <c r="Q19" s="191"/>
      <c r="R19" s="192"/>
      <c r="S19" s="193"/>
      <c r="T19" s="194"/>
      <c r="U19" s="195"/>
      <c r="V19" s="182"/>
      <c r="W19" s="196"/>
      <c r="X19" s="197"/>
      <c r="Y19" s="198"/>
      <c r="Z19" s="199"/>
      <c r="AA19" s="200"/>
      <c r="AB19" s="201"/>
      <c r="AC19" s="202"/>
      <c r="AD19" s="203"/>
    </row>
  </sheetData>
  <mergeCells count="8">
    <mergeCell ref="F1:G1"/>
    <mergeCell ref="H1:I1"/>
    <mergeCell ref="J1:K1"/>
    <mergeCell ref="L1:M1"/>
    <mergeCell ref="N1:O1"/>
    <mergeCell ref="P1:Q1"/>
    <mergeCell ref="R1:S1"/>
    <mergeCell ref="T1:U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88"/>
    <col customWidth="1" min="2" max="2" width="0.38"/>
    <col customWidth="1" min="5" max="6" width="0.38"/>
    <col customWidth="1" min="7" max="7" width="13.75"/>
    <col customWidth="1" min="8" max="8" width="0.38"/>
    <col customWidth="1" min="10" max="10" width="0.38"/>
    <col customWidth="1" min="12" max="12" width="0.38"/>
    <col customWidth="1" min="14" max="14" width="0.38"/>
    <col customWidth="1" min="16" max="16" width="0.38"/>
    <col customWidth="1" min="18" max="18" width="0.38"/>
    <col customWidth="1" min="20" max="20" width="0.38"/>
    <col customWidth="1" min="22" max="22" width="0.38"/>
  </cols>
  <sheetData>
    <row r="1">
      <c r="A1" s="157" t="s">
        <v>17</v>
      </c>
      <c r="B1" s="158"/>
      <c r="C1" s="159" t="s">
        <v>1397</v>
      </c>
      <c r="D1" s="160" t="s">
        <v>1398</v>
      </c>
      <c r="E1" s="161"/>
      <c r="F1" s="204" t="s">
        <v>1399</v>
      </c>
      <c r="G1" s="163"/>
      <c r="H1" s="204" t="s">
        <v>1400</v>
      </c>
      <c r="I1" s="163"/>
      <c r="J1" s="204" t="s">
        <v>1401</v>
      </c>
      <c r="K1" s="163"/>
      <c r="L1" s="204" t="s">
        <v>1402</v>
      </c>
      <c r="M1" s="163"/>
      <c r="N1" s="205" t="s">
        <v>1403</v>
      </c>
      <c r="O1" s="163"/>
      <c r="P1" s="206" t="s">
        <v>1404</v>
      </c>
      <c r="Q1" s="163"/>
      <c r="R1" s="207" t="s">
        <v>1405</v>
      </c>
      <c r="S1" s="163"/>
      <c r="T1" s="208" t="s">
        <v>1406</v>
      </c>
      <c r="U1" s="163"/>
      <c r="V1" s="158"/>
      <c r="W1" s="168" t="s">
        <v>1388</v>
      </c>
      <c r="X1" s="169" t="s">
        <v>1389</v>
      </c>
      <c r="Y1" s="170" t="s">
        <v>1390</v>
      </c>
      <c r="Z1" s="171" t="s">
        <v>1391</v>
      </c>
      <c r="AA1" s="172" t="s">
        <v>1392</v>
      </c>
      <c r="AB1" s="173" t="s">
        <v>1393</v>
      </c>
      <c r="AC1" s="174" t="s">
        <v>1394</v>
      </c>
      <c r="AD1" s="159" t="s">
        <v>1395</v>
      </c>
    </row>
    <row r="2">
      <c r="A2" s="61" t="s">
        <v>1407</v>
      </c>
      <c r="B2" s="158"/>
      <c r="C2" s="180">
        <v>7.500021E7</v>
      </c>
      <c r="D2" s="175">
        <v>11328.0</v>
      </c>
      <c r="E2" s="161"/>
      <c r="F2" s="176"/>
      <c r="G2" s="175">
        <v>0.0</v>
      </c>
      <c r="H2" s="176"/>
      <c r="I2" s="175">
        <v>0.0</v>
      </c>
      <c r="J2" s="176"/>
      <c r="K2" s="175">
        <v>0.0</v>
      </c>
      <c r="L2" s="176"/>
      <c r="M2" s="175">
        <v>-10.0</v>
      </c>
      <c r="N2" s="176"/>
      <c r="O2" s="175">
        <v>0.0</v>
      </c>
      <c r="P2" s="176"/>
      <c r="Q2" s="175">
        <v>50.0</v>
      </c>
      <c r="R2" s="176"/>
      <c r="S2" s="175">
        <v>0.0</v>
      </c>
      <c r="T2" s="176"/>
      <c r="U2" s="175">
        <v>-35.0</v>
      </c>
      <c r="V2" s="158"/>
      <c r="W2" s="176">
        <v>542.0</v>
      </c>
      <c r="X2" s="176">
        <v>252.0</v>
      </c>
      <c r="Y2" s="176">
        <v>252.0</v>
      </c>
      <c r="Z2" s="176">
        <v>542.0</v>
      </c>
      <c r="AA2" s="176">
        <v>154.0</v>
      </c>
      <c r="AB2" s="176" t="s">
        <v>1408</v>
      </c>
      <c r="AC2" s="176" t="s">
        <v>1408</v>
      </c>
      <c r="AD2" s="175">
        <v>120.0</v>
      </c>
    </row>
    <row r="3">
      <c r="A3" s="209" t="s">
        <v>1426</v>
      </c>
      <c r="B3" s="158"/>
      <c r="C3" s="180">
        <v>7.500221E7</v>
      </c>
      <c r="D3" s="175">
        <v>11328.0</v>
      </c>
      <c r="E3" s="161"/>
      <c r="F3" s="176"/>
      <c r="G3" s="175">
        <v>0.0</v>
      </c>
      <c r="H3" s="176"/>
      <c r="I3" s="175">
        <v>0.0</v>
      </c>
      <c r="J3" s="176"/>
      <c r="K3" s="175">
        <v>0.0</v>
      </c>
      <c r="L3" s="176"/>
      <c r="M3" s="175">
        <v>-10.0</v>
      </c>
      <c r="N3" s="176"/>
      <c r="O3" s="175">
        <v>0.0</v>
      </c>
      <c r="P3" s="176"/>
      <c r="Q3" s="175">
        <v>50.0</v>
      </c>
      <c r="R3" s="176"/>
      <c r="S3" s="175">
        <v>0.0</v>
      </c>
      <c r="T3" s="176"/>
      <c r="U3" s="175">
        <v>-35.0</v>
      </c>
      <c r="V3" s="158"/>
      <c r="W3" s="176">
        <v>542.0</v>
      </c>
      <c r="X3" s="176">
        <v>252.0</v>
      </c>
      <c r="Y3" s="176">
        <v>252.0</v>
      </c>
      <c r="Z3" s="176">
        <v>542.0</v>
      </c>
      <c r="AA3" s="176">
        <v>154.0</v>
      </c>
      <c r="AB3" s="176" t="s">
        <v>1408</v>
      </c>
      <c r="AC3" s="176" t="s">
        <v>1408</v>
      </c>
      <c r="AD3" s="175">
        <v>120.0</v>
      </c>
    </row>
    <row r="4">
      <c r="A4" s="209" t="s">
        <v>1426</v>
      </c>
      <c r="B4" s="158"/>
      <c r="C4" s="180">
        <v>7.500321E7</v>
      </c>
      <c r="D4" s="175">
        <v>11328.0</v>
      </c>
      <c r="E4" s="161"/>
      <c r="F4" s="176"/>
      <c r="G4" s="175">
        <v>0.0</v>
      </c>
      <c r="H4" s="176"/>
      <c r="I4" s="175">
        <v>0.0</v>
      </c>
      <c r="J4" s="176"/>
      <c r="K4" s="175">
        <v>0.0</v>
      </c>
      <c r="L4" s="176"/>
      <c r="M4" s="175">
        <v>-10.0</v>
      </c>
      <c r="N4" s="176"/>
      <c r="O4" s="175">
        <v>0.0</v>
      </c>
      <c r="P4" s="176"/>
      <c r="Q4" s="175">
        <v>50.0</v>
      </c>
      <c r="R4" s="176"/>
      <c r="S4" s="175">
        <v>0.0</v>
      </c>
      <c r="T4" s="176"/>
      <c r="U4" s="175">
        <v>-35.0</v>
      </c>
      <c r="V4" s="158"/>
      <c r="W4" s="176">
        <v>542.0</v>
      </c>
      <c r="X4" s="176">
        <v>252.0</v>
      </c>
      <c r="Y4" s="176">
        <v>252.0</v>
      </c>
      <c r="Z4" s="176">
        <v>542.0</v>
      </c>
      <c r="AA4" s="176">
        <v>154.0</v>
      </c>
      <c r="AB4" s="176" t="s">
        <v>1408</v>
      </c>
      <c r="AC4" s="176" t="s">
        <v>1408</v>
      </c>
      <c r="AD4" s="175">
        <v>120.0</v>
      </c>
    </row>
    <row r="5">
      <c r="A5" s="61" t="s">
        <v>1410</v>
      </c>
      <c r="B5" s="158"/>
      <c r="C5" s="178">
        <v>7.511001E7</v>
      </c>
      <c r="D5" s="178">
        <v>16426.0</v>
      </c>
      <c r="E5" s="161"/>
      <c r="F5" s="176"/>
      <c r="G5" s="175">
        <v>0.0</v>
      </c>
      <c r="H5" s="176"/>
      <c r="I5" s="175">
        <v>0.0</v>
      </c>
      <c r="J5" s="176"/>
      <c r="K5" s="175">
        <v>0.0</v>
      </c>
      <c r="L5" s="176"/>
      <c r="M5" s="175">
        <v>0.0</v>
      </c>
      <c r="N5" s="176"/>
      <c r="O5" s="175">
        <v>0.0</v>
      </c>
      <c r="P5" s="176"/>
      <c r="Q5" s="175">
        <v>20.0</v>
      </c>
      <c r="R5" s="176"/>
      <c r="S5" s="175">
        <v>50.0</v>
      </c>
      <c r="T5" s="176"/>
      <c r="U5" s="175">
        <v>0.0</v>
      </c>
      <c r="V5" s="158"/>
      <c r="W5" s="176">
        <v>154.0</v>
      </c>
      <c r="X5" s="176">
        <v>154.0</v>
      </c>
      <c r="Y5" s="176">
        <v>542.0</v>
      </c>
      <c r="Z5" s="179">
        <v>154.0</v>
      </c>
      <c r="AA5" s="176">
        <v>154.0</v>
      </c>
      <c r="AB5" s="176" t="s">
        <v>1408</v>
      </c>
      <c r="AC5" s="176" t="s">
        <v>1408</v>
      </c>
      <c r="AD5" s="175">
        <v>150.0</v>
      </c>
    </row>
    <row r="6">
      <c r="A6" s="209" t="s">
        <v>1411</v>
      </c>
      <c r="B6" s="158"/>
      <c r="C6" s="210">
        <v>7.520012E7</v>
      </c>
      <c r="D6" s="178">
        <v>7816.0</v>
      </c>
      <c r="E6" s="161"/>
      <c r="F6" s="176"/>
      <c r="G6" s="175">
        <v>-15.0</v>
      </c>
      <c r="H6" s="176"/>
      <c r="I6" s="175">
        <v>-15.0</v>
      </c>
      <c r="J6" s="176"/>
      <c r="K6" s="175">
        <v>-25.0</v>
      </c>
      <c r="L6" s="176"/>
      <c r="M6" s="175">
        <v>-25.0</v>
      </c>
      <c r="N6" s="176"/>
      <c r="O6" s="175">
        <v>50.0</v>
      </c>
      <c r="P6" s="176"/>
      <c r="Q6" s="175">
        <v>-40.0</v>
      </c>
      <c r="R6" s="176"/>
      <c r="S6" s="175">
        <v>10.0</v>
      </c>
      <c r="T6" s="176"/>
      <c r="U6" s="175">
        <v>10.0</v>
      </c>
      <c r="V6" s="158"/>
      <c r="W6" s="176">
        <v>542.0</v>
      </c>
      <c r="X6" s="176">
        <v>154.0</v>
      </c>
      <c r="Y6" s="176">
        <v>154.0</v>
      </c>
      <c r="Z6" s="176">
        <v>154.0</v>
      </c>
      <c r="AA6" s="176">
        <v>542.0</v>
      </c>
      <c r="AB6" s="176" t="s">
        <v>1408</v>
      </c>
      <c r="AC6" s="176" t="s">
        <v>1408</v>
      </c>
      <c r="AD6" s="175">
        <v>100.0</v>
      </c>
    </row>
    <row r="7">
      <c r="A7" s="209" t="s">
        <v>1412</v>
      </c>
      <c r="B7" s="158"/>
      <c r="C7" s="211">
        <v>7.520003E7</v>
      </c>
      <c r="D7" s="178">
        <v>7816.0</v>
      </c>
      <c r="E7" s="161"/>
      <c r="F7" s="176"/>
      <c r="G7" s="175">
        <v>-15.0</v>
      </c>
      <c r="H7" s="176"/>
      <c r="I7" s="175">
        <v>-15.0</v>
      </c>
      <c r="J7" s="176"/>
      <c r="K7" s="175">
        <v>-25.0</v>
      </c>
      <c r="L7" s="176"/>
      <c r="M7" s="175">
        <v>-25.0</v>
      </c>
      <c r="N7" s="176"/>
      <c r="O7" s="175">
        <v>50.0</v>
      </c>
      <c r="P7" s="176"/>
      <c r="Q7" s="175">
        <v>-40.0</v>
      </c>
      <c r="R7" s="176"/>
      <c r="S7" s="175">
        <v>10.0</v>
      </c>
      <c r="T7" s="176"/>
      <c r="U7" s="175">
        <v>10.0</v>
      </c>
      <c r="V7" s="158"/>
      <c r="W7" s="176">
        <v>542.0</v>
      </c>
      <c r="X7" s="176">
        <v>154.0</v>
      </c>
      <c r="Y7" s="176">
        <v>154.0</v>
      </c>
      <c r="Z7" s="176">
        <v>154.0</v>
      </c>
      <c r="AA7" s="176">
        <v>542.0</v>
      </c>
      <c r="AB7" s="176" t="s">
        <v>1408</v>
      </c>
      <c r="AC7" s="176" t="s">
        <v>1408</v>
      </c>
      <c r="AD7" s="175">
        <v>100.0</v>
      </c>
    </row>
    <row r="8">
      <c r="A8" s="209" t="s">
        <v>1427</v>
      </c>
      <c r="B8" s="158"/>
      <c r="C8" s="180">
        <v>7.521001E7</v>
      </c>
      <c r="D8" s="178">
        <v>6364.0</v>
      </c>
      <c r="E8" s="161"/>
      <c r="F8" s="176"/>
      <c r="G8" s="178">
        <v>0.0</v>
      </c>
      <c r="H8" s="176"/>
      <c r="I8" s="178">
        <v>0.0</v>
      </c>
      <c r="J8" s="176"/>
      <c r="K8" s="178">
        <v>0.0</v>
      </c>
      <c r="L8" s="176"/>
      <c r="M8" s="178">
        <v>0.0</v>
      </c>
      <c r="N8" s="176"/>
      <c r="O8" s="178">
        <v>0.0</v>
      </c>
      <c r="P8" s="176"/>
      <c r="Q8" s="178">
        <v>0.0</v>
      </c>
      <c r="R8" s="176"/>
      <c r="S8" s="178">
        <v>0.0</v>
      </c>
      <c r="T8" s="176"/>
      <c r="U8" s="178">
        <v>0.0</v>
      </c>
      <c r="V8" s="158"/>
      <c r="W8" s="176" t="s">
        <v>1408</v>
      </c>
      <c r="X8" s="176" t="s">
        <v>1408</v>
      </c>
      <c r="Y8" s="176" t="s">
        <v>1408</v>
      </c>
      <c r="Z8" s="176" t="s">
        <v>1408</v>
      </c>
      <c r="AA8" s="176" t="s">
        <v>1408</v>
      </c>
      <c r="AB8" s="176" t="s">
        <v>1408</v>
      </c>
      <c r="AC8" s="176" t="s">
        <v>1408</v>
      </c>
      <c r="AD8" s="178">
        <v>100.0</v>
      </c>
    </row>
    <row r="9">
      <c r="A9" s="209" t="s">
        <v>1413</v>
      </c>
      <c r="B9" s="158"/>
      <c r="C9" s="178">
        <v>7.530012E7</v>
      </c>
      <c r="D9" s="178">
        <v>8564.0</v>
      </c>
      <c r="E9" s="161"/>
      <c r="F9" s="176"/>
      <c r="G9" s="175">
        <v>10.0</v>
      </c>
      <c r="H9" s="176"/>
      <c r="I9" s="175">
        <v>-20.0</v>
      </c>
      <c r="J9" s="176"/>
      <c r="K9" s="175">
        <v>20.0</v>
      </c>
      <c r="L9" s="176"/>
      <c r="M9" s="175">
        <v>-10.0</v>
      </c>
      <c r="N9" s="176"/>
      <c r="O9" s="175">
        <v>10.0</v>
      </c>
      <c r="P9" s="176"/>
      <c r="Q9" s="175">
        <v>-35.0</v>
      </c>
      <c r="R9" s="176"/>
      <c r="S9" s="175">
        <v>10.0</v>
      </c>
      <c r="T9" s="176"/>
      <c r="U9" s="175">
        <v>10.0</v>
      </c>
      <c r="V9" s="158"/>
      <c r="W9" s="176">
        <v>252.0</v>
      </c>
      <c r="X9" s="176">
        <v>154.0</v>
      </c>
      <c r="Y9" s="176">
        <v>154.0</v>
      </c>
      <c r="Z9" s="176">
        <v>154.0</v>
      </c>
      <c r="AA9" s="176">
        <v>154.0</v>
      </c>
      <c r="AB9" s="176" t="s">
        <v>1408</v>
      </c>
      <c r="AC9" s="176" t="s">
        <v>1408</v>
      </c>
      <c r="AD9" s="175">
        <v>150.0</v>
      </c>
    </row>
    <row r="10">
      <c r="A10" s="209" t="s">
        <v>1414</v>
      </c>
      <c r="B10" s="158"/>
      <c r="C10" s="180">
        <v>7.530002E7</v>
      </c>
      <c r="D10" s="178">
        <v>8564.0</v>
      </c>
      <c r="E10" s="161"/>
      <c r="F10" s="176"/>
      <c r="G10" s="175">
        <v>10.0</v>
      </c>
      <c r="H10" s="176"/>
      <c r="I10" s="175">
        <v>-20.0</v>
      </c>
      <c r="J10" s="176"/>
      <c r="K10" s="175">
        <v>20.0</v>
      </c>
      <c r="L10" s="176"/>
      <c r="M10" s="175">
        <v>-10.0</v>
      </c>
      <c r="N10" s="176"/>
      <c r="O10" s="175">
        <v>10.0</v>
      </c>
      <c r="P10" s="176"/>
      <c r="Q10" s="175">
        <v>-35.0</v>
      </c>
      <c r="R10" s="176"/>
      <c r="S10" s="175">
        <v>10.0</v>
      </c>
      <c r="T10" s="176"/>
      <c r="U10" s="175">
        <v>10.0</v>
      </c>
      <c r="V10" s="158"/>
      <c r="W10" s="176">
        <v>252.0</v>
      </c>
      <c r="X10" s="176">
        <v>154.0</v>
      </c>
      <c r="Y10" s="176">
        <v>154.0</v>
      </c>
      <c r="Z10" s="176">
        <v>154.0</v>
      </c>
      <c r="AA10" s="176">
        <v>154.0</v>
      </c>
      <c r="AB10" s="176" t="s">
        <v>1408</v>
      </c>
      <c r="AC10" s="176" t="s">
        <v>1408</v>
      </c>
      <c r="AD10" s="175">
        <v>150.0</v>
      </c>
    </row>
    <row r="11">
      <c r="A11" s="209" t="s">
        <v>1428</v>
      </c>
      <c r="B11" s="158"/>
      <c r="C11" s="180">
        <v>7.54001E7</v>
      </c>
      <c r="D11" s="180">
        <v>3171.0</v>
      </c>
      <c r="E11" s="161"/>
      <c r="F11" s="176"/>
      <c r="G11" s="180">
        <v>0.0</v>
      </c>
      <c r="H11" s="176"/>
      <c r="I11" s="180">
        <v>20.0</v>
      </c>
      <c r="J11" s="176"/>
      <c r="K11" s="180">
        <v>-15.0</v>
      </c>
      <c r="L11" s="176"/>
      <c r="M11" s="180">
        <v>10.0</v>
      </c>
      <c r="N11" s="176"/>
      <c r="O11" s="180">
        <v>20.0</v>
      </c>
      <c r="P11" s="176"/>
      <c r="Q11" s="180">
        <v>50.0</v>
      </c>
      <c r="R11" s="176"/>
      <c r="S11" s="180">
        <v>-40.0</v>
      </c>
      <c r="T11" s="176"/>
      <c r="U11" s="180">
        <v>15.0</v>
      </c>
      <c r="V11" s="158"/>
      <c r="W11" s="176" t="s">
        <v>1408</v>
      </c>
      <c r="X11" s="176">
        <v>252.0</v>
      </c>
      <c r="Y11" s="176" t="s">
        <v>1408</v>
      </c>
      <c r="Z11" s="176">
        <v>252.0</v>
      </c>
      <c r="AA11" s="176" t="s">
        <v>1408</v>
      </c>
      <c r="AB11" s="176" t="s">
        <v>1408</v>
      </c>
      <c r="AC11" s="176" t="s">
        <v>1408</v>
      </c>
      <c r="AD11" s="180">
        <v>150.0</v>
      </c>
    </row>
    <row r="12">
      <c r="A12" s="61" t="s">
        <v>1415</v>
      </c>
      <c r="B12" s="158"/>
      <c r="C12" s="175">
        <v>7.541E7</v>
      </c>
      <c r="D12" s="175">
        <v>29452.0</v>
      </c>
      <c r="E12" s="161"/>
      <c r="F12" s="176"/>
      <c r="G12" s="175">
        <v>0.0</v>
      </c>
      <c r="H12" s="176"/>
      <c r="I12" s="175">
        <v>20.0</v>
      </c>
      <c r="J12" s="176"/>
      <c r="K12" s="175">
        <v>-15.0</v>
      </c>
      <c r="L12" s="176"/>
      <c r="M12" s="175">
        <v>10.0</v>
      </c>
      <c r="N12" s="176"/>
      <c r="O12" s="175">
        <v>20.0</v>
      </c>
      <c r="P12" s="176"/>
      <c r="Q12" s="175">
        <v>50.0</v>
      </c>
      <c r="R12" s="176"/>
      <c r="S12" s="175">
        <v>-40.0</v>
      </c>
      <c r="T12" s="176"/>
      <c r="U12" s="175">
        <v>15.0</v>
      </c>
      <c r="V12" s="158"/>
      <c r="W12" s="176" t="s">
        <v>1408</v>
      </c>
      <c r="X12" s="176">
        <v>252.0</v>
      </c>
      <c r="Y12" s="176" t="s">
        <v>1408</v>
      </c>
      <c r="Z12" s="176">
        <v>252.0</v>
      </c>
      <c r="AA12" s="176" t="s">
        <v>1408</v>
      </c>
      <c r="AB12" s="176" t="s">
        <v>1408</v>
      </c>
      <c r="AC12" s="176" t="s">
        <v>1408</v>
      </c>
      <c r="AD12" s="175">
        <v>600.0</v>
      </c>
    </row>
    <row r="13">
      <c r="A13" s="61" t="s">
        <v>1416</v>
      </c>
      <c r="B13" s="158"/>
      <c r="C13" s="175">
        <v>7.561001E7</v>
      </c>
      <c r="D13" s="175">
        <v>13048.0</v>
      </c>
      <c r="E13" s="161"/>
      <c r="F13" s="176"/>
      <c r="G13" s="175">
        <v>0.0</v>
      </c>
      <c r="H13" s="176"/>
      <c r="I13" s="175">
        <v>0.0</v>
      </c>
      <c r="J13" s="176"/>
      <c r="K13" s="175">
        <v>-10.0</v>
      </c>
      <c r="L13" s="176"/>
      <c r="M13" s="175">
        <v>0.0</v>
      </c>
      <c r="N13" s="176"/>
      <c r="O13" s="175">
        <v>20.0</v>
      </c>
      <c r="P13" s="176"/>
      <c r="Q13" s="175">
        <v>-20.0</v>
      </c>
      <c r="R13" s="176"/>
      <c r="S13" s="175">
        <v>0.0</v>
      </c>
      <c r="T13" s="176"/>
      <c r="U13" s="175">
        <v>-35.0</v>
      </c>
      <c r="V13" s="158"/>
      <c r="W13" s="176">
        <v>154.0</v>
      </c>
      <c r="X13" s="176">
        <v>154.0</v>
      </c>
      <c r="Y13" s="176">
        <v>252.0</v>
      </c>
      <c r="Z13" s="176">
        <v>252.0</v>
      </c>
      <c r="AA13" s="176" t="s">
        <v>1408</v>
      </c>
      <c r="AB13" s="176">
        <v>154.0</v>
      </c>
      <c r="AC13" s="176" t="s">
        <v>1408</v>
      </c>
      <c r="AD13" s="175">
        <v>120.0</v>
      </c>
    </row>
    <row r="14">
      <c r="A14" s="61" t="s">
        <v>1417</v>
      </c>
      <c r="B14" s="158"/>
      <c r="C14" s="178">
        <v>7.600101E7</v>
      </c>
      <c r="D14" s="178">
        <v>14273.0</v>
      </c>
      <c r="E14" s="161"/>
      <c r="F14" s="176"/>
      <c r="G14" s="175">
        <v>0.0</v>
      </c>
      <c r="H14" s="176"/>
      <c r="I14" s="175">
        <v>0.0</v>
      </c>
      <c r="J14" s="176"/>
      <c r="K14" s="175">
        <v>0.0</v>
      </c>
      <c r="L14" s="176"/>
      <c r="M14" s="175">
        <v>0.0</v>
      </c>
      <c r="N14" s="176"/>
      <c r="O14" s="176">
        <v>0.0</v>
      </c>
      <c r="P14" s="176"/>
      <c r="Q14" s="175">
        <v>0.0</v>
      </c>
      <c r="R14" s="176"/>
      <c r="S14" s="175">
        <v>-20.0</v>
      </c>
      <c r="T14" s="176"/>
      <c r="U14" s="175">
        <v>30.0</v>
      </c>
      <c r="V14" s="158"/>
      <c r="W14" s="176">
        <v>154.0</v>
      </c>
      <c r="X14" s="176">
        <v>154.0</v>
      </c>
      <c r="Y14" s="176">
        <v>154.0</v>
      </c>
      <c r="Z14" s="176">
        <v>154.0</v>
      </c>
      <c r="AA14" s="176">
        <v>154.0</v>
      </c>
      <c r="AB14" s="176" t="s">
        <v>1408</v>
      </c>
      <c r="AC14" s="176" t="s">
        <v>1408</v>
      </c>
      <c r="AD14" s="175">
        <v>155.0</v>
      </c>
    </row>
    <row r="15">
      <c r="A15" s="61" t="s">
        <v>1418</v>
      </c>
      <c r="B15" s="158"/>
      <c r="C15" s="180">
        <v>4.901001E7</v>
      </c>
      <c r="D15" s="175">
        <v>12007.0</v>
      </c>
      <c r="E15" s="161"/>
      <c r="F15" s="176"/>
      <c r="G15" s="175">
        <v>0.0</v>
      </c>
      <c r="H15" s="176"/>
      <c r="I15" s="175">
        <v>-15.0</v>
      </c>
      <c r="J15" s="176"/>
      <c r="K15" s="175">
        <v>15.0</v>
      </c>
      <c r="L15" s="176"/>
      <c r="M15" s="175">
        <v>10.0</v>
      </c>
      <c r="N15" s="176"/>
      <c r="O15" s="175">
        <v>20.0</v>
      </c>
      <c r="P15" s="176"/>
      <c r="Q15" s="175">
        <v>-35.0</v>
      </c>
      <c r="R15" s="176"/>
      <c r="S15" s="175">
        <v>20.0</v>
      </c>
      <c r="T15" s="176"/>
      <c r="U15" s="175">
        <v>20.0</v>
      </c>
      <c r="V15" s="158"/>
      <c r="W15" s="176">
        <v>252.0</v>
      </c>
      <c r="X15" s="176">
        <v>252.0</v>
      </c>
      <c r="Y15" s="176">
        <v>252.0</v>
      </c>
      <c r="Z15" s="176">
        <v>542.0</v>
      </c>
      <c r="AA15" s="176">
        <v>542.0</v>
      </c>
      <c r="AB15" s="176" t="s">
        <v>1408</v>
      </c>
      <c r="AC15" s="176" t="s">
        <v>1408</v>
      </c>
      <c r="AD15" s="175">
        <v>160.0</v>
      </c>
    </row>
    <row r="16" ht="1.5" customHeight="1">
      <c r="A16" s="212"/>
      <c r="B16" s="158"/>
      <c r="C16" s="161"/>
      <c r="D16" s="161"/>
      <c r="E16" s="161"/>
      <c r="F16" s="2"/>
      <c r="G16" s="161"/>
      <c r="H16" s="2"/>
      <c r="I16" s="161"/>
      <c r="J16" s="2"/>
      <c r="K16" s="161"/>
      <c r="L16" s="2"/>
      <c r="M16" s="161"/>
      <c r="N16" s="2"/>
      <c r="O16" s="161"/>
      <c r="P16" s="2"/>
      <c r="Q16" s="161"/>
      <c r="R16" s="2"/>
      <c r="S16" s="161"/>
      <c r="T16" s="2"/>
      <c r="U16" s="161"/>
      <c r="V16" s="158"/>
      <c r="W16" s="2"/>
      <c r="X16" s="2"/>
      <c r="Y16" s="2"/>
      <c r="Z16" s="2"/>
      <c r="AA16" s="2"/>
      <c r="AB16" s="2"/>
      <c r="AC16" s="2"/>
      <c r="AD16" s="161"/>
    </row>
  </sheetData>
  <mergeCells count="8">
    <mergeCell ref="F1:G1"/>
    <mergeCell ref="H1:I1"/>
    <mergeCell ref="J1:K1"/>
    <mergeCell ref="L1:M1"/>
    <mergeCell ref="N1:O1"/>
    <mergeCell ref="P1:Q1"/>
    <mergeCell ref="R1:S1"/>
    <mergeCell ref="T1:U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88"/>
    <col customWidth="1" min="2" max="2" width="0.38"/>
    <col customWidth="1" min="5" max="6" width="0.38"/>
    <col customWidth="1" min="7" max="7" width="13.75"/>
    <col customWidth="1" min="8" max="8" width="0.38"/>
    <col customWidth="1" min="10" max="10" width="0.38"/>
    <col customWidth="1" min="12" max="12" width="0.38"/>
    <col customWidth="1" min="14" max="14" width="0.38"/>
    <col customWidth="1" min="16" max="16" width="0.38"/>
    <col customWidth="1" min="18" max="18" width="0.38"/>
    <col customWidth="1" min="20" max="20" width="0.38"/>
    <col customWidth="1" min="22" max="22" width="0.38"/>
  </cols>
  <sheetData>
    <row r="1">
      <c r="A1" s="157" t="s">
        <v>17</v>
      </c>
      <c r="B1" s="158"/>
      <c r="C1" s="159" t="s">
        <v>1397</v>
      </c>
      <c r="D1" s="160" t="s">
        <v>1398</v>
      </c>
      <c r="E1" s="161"/>
      <c r="F1" s="204" t="s">
        <v>1399</v>
      </c>
      <c r="G1" s="163"/>
      <c r="H1" s="204" t="s">
        <v>1400</v>
      </c>
      <c r="I1" s="163"/>
      <c r="J1" s="204" t="s">
        <v>1401</v>
      </c>
      <c r="K1" s="163"/>
      <c r="L1" s="204" t="s">
        <v>1402</v>
      </c>
      <c r="M1" s="163"/>
      <c r="N1" s="205" t="s">
        <v>1403</v>
      </c>
      <c r="O1" s="163"/>
      <c r="P1" s="206" t="s">
        <v>1404</v>
      </c>
      <c r="Q1" s="163"/>
      <c r="R1" s="207" t="s">
        <v>1405</v>
      </c>
      <c r="S1" s="163"/>
      <c r="T1" s="208" t="s">
        <v>1406</v>
      </c>
      <c r="U1" s="163"/>
      <c r="V1" s="158"/>
      <c r="W1" s="168" t="s">
        <v>1388</v>
      </c>
      <c r="X1" s="169" t="s">
        <v>1389</v>
      </c>
      <c r="Y1" s="170" t="s">
        <v>1390</v>
      </c>
      <c r="Z1" s="171" t="s">
        <v>1391</v>
      </c>
      <c r="AA1" s="172" t="s">
        <v>1392</v>
      </c>
      <c r="AB1" s="173" t="s">
        <v>1393</v>
      </c>
      <c r="AC1" s="174" t="s">
        <v>1394</v>
      </c>
      <c r="AD1" s="159" t="s">
        <v>1395</v>
      </c>
    </row>
    <row r="2">
      <c r="A2" s="61" t="s">
        <v>1407</v>
      </c>
      <c r="B2" s="158"/>
      <c r="C2" s="180">
        <v>7.500021E7</v>
      </c>
      <c r="D2" s="175">
        <f t="shared" ref="D2:D4" si="1">2*11328</f>
        <v>22656</v>
      </c>
      <c r="E2" s="161"/>
      <c r="F2" s="176"/>
      <c r="G2" s="175">
        <v>0.0</v>
      </c>
      <c r="H2" s="176"/>
      <c r="I2" s="175">
        <v>0.0</v>
      </c>
      <c r="J2" s="176"/>
      <c r="K2" s="175">
        <v>0.0</v>
      </c>
      <c r="L2" s="176"/>
      <c r="M2" s="175">
        <v>-10.0</v>
      </c>
      <c r="N2" s="176"/>
      <c r="O2" s="175">
        <v>0.0</v>
      </c>
      <c r="P2" s="176"/>
      <c r="Q2" s="175">
        <v>50.0</v>
      </c>
      <c r="R2" s="176"/>
      <c r="S2" s="175">
        <v>0.0</v>
      </c>
      <c r="T2" s="176"/>
      <c r="U2" s="175">
        <v>-35.0</v>
      </c>
      <c r="V2" s="158"/>
      <c r="W2" s="176">
        <v>542.0</v>
      </c>
      <c r="X2" s="176">
        <v>252.0</v>
      </c>
      <c r="Y2" s="176">
        <v>252.0</v>
      </c>
      <c r="Z2" s="176">
        <v>542.0</v>
      </c>
      <c r="AA2" s="176">
        <v>154.0</v>
      </c>
      <c r="AB2" s="176" t="s">
        <v>1408</v>
      </c>
      <c r="AC2" s="176" t="s">
        <v>1408</v>
      </c>
      <c r="AD2" s="175">
        <f t="shared" ref="AD2:AD4" si="2">120/0.55</f>
        <v>218.1818182</v>
      </c>
    </row>
    <row r="3">
      <c r="A3" s="209" t="s">
        <v>1426</v>
      </c>
      <c r="B3" s="158"/>
      <c r="C3" s="180">
        <v>7.500221E7</v>
      </c>
      <c r="D3" s="175">
        <f t="shared" si="1"/>
        <v>22656</v>
      </c>
      <c r="E3" s="161"/>
      <c r="F3" s="176"/>
      <c r="G3" s="175">
        <v>0.0</v>
      </c>
      <c r="H3" s="176"/>
      <c r="I3" s="175">
        <v>0.0</v>
      </c>
      <c r="J3" s="176"/>
      <c r="K3" s="175">
        <v>0.0</v>
      </c>
      <c r="L3" s="176"/>
      <c r="M3" s="175">
        <v>-10.0</v>
      </c>
      <c r="N3" s="176"/>
      <c r="O3" s="175">
        <v>0.0</v>
      </c>
      <c r="P3" s="176"/>
      <c r="Q3" s="175">
        <v>50.0</v>
      </c>
      <c r="R3" s="176"/>
      <c r="S3" s="175">
        <v>0.0</v>
      </c>
      <c r="T3" s="176"/>
      <c r="U3" s="175">
        <v>-35.0</v>
      </c>
      <c r="V3" s="158"/>
      <c r="W3" s="176">
        <v>542.0</v>
      </c>
      <c r="X3" s="176">
        <v>252.0</v>
      </c>
      <c r="Y3" s="176">
        <v>252.0</v>
      </c>
      <c r="Z3" s="176">
        <v>542.0</v>
      </c>
      <c r="AA3" s="176">
        <v>154.0</v>
      </c>
      <c r="AB3" s="176" t="s">
        <v>1408</v>
      </c>
      <c r="AC3" s="176" t="s">
        <v>1408</v>
      </c>
      <c r="AD3" s="175">
        <f t="shared" si="2"/>
        <v>218.1818182</v>
      </c>
    </row>
    <row r="4">
      <c r="A4" s="209" t="s">
        <v>1426</v>
      </c>
      <c r="B4" s="158"/>
      <c r="C4" s="180">
        <v>7.500321E7</v>
      </c>
      <c r="D4" s="175">
        <f t="shared" si="1"/>
        <v>22656</v>
      </c>
      <c r="E4" s="161"/>
      <c r="F4" s="176"/>
      <c r="G4" s="175">
        <v>0.0</v>
      </c>
      <c r="H4" s="176"/>
      <c r="I4" s="175">
        <v>0.0</v>
      </c>
      <c r="J4" s="176"/>
      <c r="K4" s="175">
        <v>0.0</v>
      </c>
      <c r="L4" s="176"/>
      <c r="M4" s="175">
        <v>-10.0</v>
      </c>
      <c r="N4" s="176"/>
      <c r="O4" s="175">
        <v>0.0</v>
      </c>
      <c r="P4" s="176"/>
      <c r="Q4" s="175">
        <v>50.0</v>
      </c>
      <c r="R4" s="176"/>
      <c r="S4" s="175">
        <v>0.0</v>
      </c>
      <c r="T4" s="176"/>
      <c r="U4" s="175">
        <v>-35.0</v>
      </c>
      <c r="V4" s="158"/>
      <c r="W4" s="176">
        <v>542.0</v>
      </c>
      <c r="X4" s="176">
        <v>252.0</v>
      </c>
      <c r="Y4" s="176">
        <v>252.0</v>
      </c>
      <c r="Z4" s="176">
        <v>542.0</v>
      </c>
      <c r="AA4" s="176">
        <v>154.0</v>
      </c>
      <c r="AB4" s="176" t="s">
        <v>1408</v>
      </c>
      <c r="AC4" s="176" t="s">
        <v>1408</v>
      </c>
      <c r="AD4" s="175">
        <f t="shared" si="2"/>
        <v>218.1818182</v>
      </c>
    </row>
    <row r="5">
      <c r="A5" s="61" t="s">
        <v>1410</v>
      </c>
      <c r="B5" s="158"/>
      <c r="C5" s="178">
        <v>7.511001E7</v>
      </c>
      <c r="D5" s="178">
        <f>2*16426</f>
        <v>32852</v>
      </c>
      <c r="E5" s="161"/>
      <c r="F5" s="176"/>
      <c r="G5" s="175">
        <v>0.0</v>
      </c>
      <c r="H5" s="176"/>
      <c r="I5" s="175">
        <v>0.0</v>
      </c>
      <c r="J5" s="176"/>
      <c r="K5" s="175">
        <v>0.0</v>
      </c>
      <c r="L5" s="176"/>
      <c r="M5" s="175">
        <v>0.0</v>
      </c>
      <c r="N5" s="176"/>
      <c r="O5" s="175">
        <v>0.0</v>
      </c>
      <c r="P5" s="176"/>
      <c r="Q5" s="175">
        <v>20.0</v>
      </c>
      <c r="R5" s="176"/>
      <c r="S5" s="175">
        <v>50.0</v>
      </c>
      <c r="T5" s="176"/>
      <c r="U5" s="175">
        <v>0.0</v>
      </c>
      <c r="V5" s="158"/>
      <c r="W5" s="176">
        <v>154.0</v>
      </c>
      <c r="X5" s="176">
        <v>154.0</v>
      </c>
      <c r="Y5" s="176">
        <v>542.0</v>
      </c>
      <c r="Z5" s="179">
        <v>154.0</v>
      </c>
      <c r="AA5" s="176">
        <v>154.0</v>
      </c>
      <c r="AB5" s="176" t="s">
        <v>1408</v>
      </c>
      <c r="AC5" s="176" t="s">
        <v>1408</v>
      </c>
      <c r="AD5" s="175">
        <f>150/0.55</f>
        <v>272.7272727</v>
      </c>
    </row>
    <row r="6">
      <c r="A6" s="209" t="s">
        <v>1411</v>
      </c>
      <c r="B6" s="158"/>
      <c r="C6" s="210">
        <v>7.520012E7</v>
      </c>
      <c r="D6" s="178">
        <f t="shared" ref="D6:D7" si="3">2*7816</f>
        <v>15632</v>
      </c>
      <c r="E6" s="161"/>
      <c r="F6" s="176"/>
      <c r="G6" s="175">
        <v>-15.0</v>
      </c>
      <c r="H6" s="176"/>
      <c r="I6" s="175">
        <v>-15.0</v>
      </c>
      <c r="J6" s="176"/>
      <c r="K6" s="175">
        <v>-25.0</v>
      </c>
      <c r="L6" s="176"/>
      <c r="M6" s="175">
        <v>-25.0</v>
      </c>
      <c r="N6" s="176"/>
      <c r="O6" s="175">
        <v>50.0</v>
      </c>
      <c r="P6" s="176"/>
      <c r="Q6" s="175">
        <v>-40.0</v>
      </c>
      <c r="R6" s="176"/>
      <c r="S6" s="175">
        <v>10.0</v>
      </c>
      <c r="T6" s="176"/>
      <c r="U6" s="175">
        <v>10.0</v>
      </c>
      <c r="V6" s="158"/>
      <c r="W6" s="176">
        <v>542.0</v>
      </c>
      <c r="X6" s="176">
        <v>154.0</v>
      </c>
      <c r="Y6" s="176">
        <v>154.0</v>
      </c>
      <c r="Z6" s="176">
        <v>154.0</v>
      </c>
      <c r="AA6" s="176">
        <v>542.0</v>
      </c>
      <c r="AB6" s="176" t="s">
        <v>1408</v>
      </c>
      <c r="AC6" s="176" t="s">
        <v>1408</v>
      </c>
      <c r="AD6" s="175">
        <f t="shared" ref="AD6:AD8" si="4">100/0.55</f>
        <v>181.8181818</v>
      </c>
    </row>
    <row r="7">
      <c r="A7" s="209" t="s">
        <v>1412</v>
      </c>
      <c r="B7" s="158"/>
      <c r="C7" s="211">
        <v>7.520003E7</v>
      </c>
      <c r="D7" s="178">
        <f t="shared" si="3"/>
        <v>15632</v>
      </c>
      <c r="E7" s="161"/>
      <c r="F7" s="176"/>
      <c r="G7" s="175">
        <v>-15.0</v>
      </c>
      <c r="H7" s="176"/>
      <c r="I7" s="175">
        <v>-15.0</v>
      </c>
      <c r="J7" s="176"/>
      <c r="K7" s="175">
        <v>-25.0</v>
      </c>
      <c r="L7" s="176"/>
      <c r="M7" s="175">
        <v>-25.0</v>
      </c>
      <c r="N7" s="176"/>
      <c r="O7" s="175">
        <v>50.0</v>
      </c>
      <c r="P7" s="176"/>
      <c r="Q7" s="175">
        <v>-40.0</v>
      </c>
      <c r="R7" s="176"/>
      <c r="S7" s="175">
        <v>10.0</v>
      </c>
      <c r="T7" s="176"/>
      <c r="U7" s="175">
        <v>10.0</v>
      </c>
      <c r="V7" s="158"/>
      <c r="W7" s="176">
        <v>542.0</v>
      </c>
      <c r="X7" s="176">
        <v>154.0</v>
      </c>
      <c r="Y7" s="176">
        <v>154.0</v>
      </c>
      <c r="Z7" s="176">
        <v>154.0</v>
      </c>
      <c r="AA7" s="176">
        <v>542.0</v>
      </c>
      <c r="AB7" s="176" t="s">
        <v>1408</v>
      </c>
      <c r="AC7" s="176" t="s">
        <v>1408</v>
      </c>
      <c r="AD7" s="175">
        <f t="shared" si="4"/>
        <v>181.8181818</v>
      </c>
    </row>
    <row r="8">
      <c r="A8" s="209" t="s">
        <v>1427</v>
      </c>
      <c r="B8" s="158"/>
      <c r="C8" s="180">
        <v>7.521001E7</v>
      </c>
      <c r="D8" s="178">
        <f>2*6364</f>
        <v>12728</v>
      </c>
      <c r="E8" s="161"/>
      <c r="F8" s="176"/>
      <c r="G8" s="178">
        <v>0.0</v>
      </c>
      <c r="H8" s="176"/>
      <c r="I8" s="178">
        <v>0.0</v>
      </c>
      <c r="J8" s="176"/>
      <c r="K8" s="178">
        <v>0.0</v>
      </c>
      <c r="L8" s="176"/>
      <c r="M8" s="178">
        <v>0.0</v>
      </c>
      <c r="N8" s="176"/>
      <c r="O8" s="178">
        <v>0.0</v>
      </c>
      <c r="P8" s="176"/>
      <c r="Q8" s="178">
        <v>0.0</v>
      </c>
      <c r="R8" s="176"/>
      <c r="S8" s="178">
        <v>0.0</v>
      </c>
      <c r="T8" s="176"/>
      <c r="U8" s="178">
        <v>0.0</v>
      </c>
      <c r="V8" s="158"/>
      <c r="W8" s="176" t="s">
        <v>1408</v>
      </c>
      <c r="X8" s="176" t="s">
        <v>1408</v>
      </c>
      <c r="Y8" s="176" t="s">
        <v>1408</v>
      </c>
      <c r="Z8" s="176" t="s">
        <v>1408</v>
      </c>
      <c r="AA8" s="176" t="s">
        <v>1408</v>
      </c>
      <c r="AB8" s="176" t="s">
        <v>1408</v>
      </c>
      <c r="AC8" s="176" t="s">
        <v>1408</v>
      </c>
      <c r="AD8" s="178">
        <f t="shared" si="4"/>
        <v>181.8181818</v>
      </c>
    </row>
    <row r="9">
      <c r="A9" s="209" t="s">
        <v>1413</v>
      </c>
      <c r="B9" s="158"/>
      <c r="C9" s="178">
        <v>7.530012E7</v>
      </c>
      <c r="D9" s="178">
        <f t="shared" ref="D9:D10" si="5">2*8564</f>
        <v>17128</v>
      </c>
      <c r="E9" s="161"/>
      <c r="F9" s="176"/>
      <c r="G9" s="175">
        <v>10.0</v>
      </c>
      <c r="H9" s="176"/>
      <c r="I9" s="175">
        <v>-20.0</v>
      </c>
      <c r="J9" s="176"/>
      <c r="K9" s="175">
        <v>20.0</v>
      </c>
      <c r="L9" s="176"/>
      <c r="M9" s="175">
        <v>-10.0</v>
      </c>
      <c r="N9" s="176"/>
      <c r="O9" s="175">
        <v>10.0</v>
      </c>
      <c r="P9" s="176"/>
      <c r="Q9" s="175">
        <v>-35.0</v>
      </c>
      <c r="R9" s="176"/>
      <c r="S9" s="175">
        <v>10.0</v>
      </c>
      <c r="T9" s="176"/>
      <c r="U9" s="175">
        <v>10.0</v>
      </c>
      <c r="V9" s="158"/>
      <c r="W9" s="176">
        <v>252.0</v>
      </c>
      <c r="X9" s="176">
        <v>154.0</v>
      </c>
      <c r="Y9" s="176">
        <v>154.0</v>
      </c>
      <c r="Z9" s="176">
        <v>154.0</v>
      </c>
      <c r="AA9" s="176">
        <v>154.0</v>
      </c>
      <c r="AB9" s="176" t="s">
        <v>1408</v>
      </c>
      <c r="AC9" s="176" t="s">
        <v>1408</v>
      </c>
      <c r="AD9" s="175">
        <f t="shared" ref="AD9:AD11" si="6">150/0.55</f>
        <v>272.7272727</v>
      </c>
    </row>
    <row r="10">
      <c r="A10" s="209" t="s">
        <v>1414</v>
      </c>
      <c r="B10" s="158"/>
      <c r="C10" s="180">
        <v>7.530002E7</v>
      </c>
      <c r="D10" s="178">
        <f t="shared" si="5"/>
        <v>17128</v>
      </c>
      <c r="E10" s="161"/>
      <c r="F10" s="176"/>
      <c r="G10" s="175">
        <v>10.0</v>
      </c>
      <c r="H10" s="176"/>
      <c r="I10" s="175">
        <v>-20.0</v>
      </c>
      <c r="J10" s="176"/>
      <c r="K10" s="175">
        <v>20.0</v>
      </c>
      <c r="L10" s="176"/>
      <c r="M10" s="175">
        <v>-10.0</v>
      </c>
      <c r="N10" s="176"/>
      <c r="O10" s="175">
        <v>10.0</v>
      </c>
      <c r="P10" s="176"/>
      <c r="Q10" s="175">
        <v>-35.0</v>
      </c>
      <c r="R10" s="176"/>
      <c r="S10" s="175">
        <v>10.0</v>
      </c>
      <c r="T10" s="176"/>
      <c r="U10" s="175">
        <v>10.0</v>
      </c>
      <c r="V10" s="158"/>
      <c r="W10" s="176">
        <v>252.0</v>
      </c>
      <c r="X10" s="176">
        <v>154.0</v>
      </c>
      <c r="Y10" s="176">
        <v>154.0</v>
      </c>
      <c r="Z10" s="176">
        <v>154.0</v>
      </c>
      <c r="AA10" s="176">
        <v>154.0</v>
      </c>
      <c r="AB10" s="176" t="s">
        <v>1408</v>
      </c>
      <c r="AC10" s="176" t="s">
        <v>1408</v>
      </c>
      <c r="AD10" s="175">
        <f t="shared" si="6"/>
        <v>272.7272727</v>
      </c>
    </row>
    <row r="11">
      <c r="A11" s="209" t="s">
        <v>1428</v>
      </c>
      <c r="B11" s="158"/>
      <c r="C11" s="180">
        <v>7.54001E7</v>
      </c>
      <c r="D11" s="180">
        <f>2*3171</f>
        <v>6342</v>
      </c>
      <c r="E11" s="161"/>
      <c r="F11" s="176"/>
      <c r="G11" s="180">
        <v>0.0</v>
      </c>
      <c r="H11" s="176"/>
      <c r="I11" s="180">
        <v>20.0</v>
      </c>
      <c r="J11" s="176"/>
      <c r="K11" s="180">
        <v>-15.0</v>
      </c>
      <c r="L11" s="176"/>
      <c r="M11" s="180">
        <v>10.0</v>
      </c>
      <c r="N11" s="176"/>
      <c r="O11" s="180">
        <v>20.0</v>
      </c>
      <c r="P11" s="176"/>
      <c r="Q11" s="180">
        <v>50.0</v>
      </c>
      <c r="R11" s="176"/>
      <c r="S11" s="180">
        <v>-40.0</v>
      </c>
      <c r="T11" s="176"/>
      <c r="U11" s="180">
        <v>15.0</v>
      </c>
      <c r="V11" s="158"/>
      <c r="W11" s="176" t="s">
        <v>1408</v>
      </c>
      <c r="X11" s="176">
        <v>252.0</v>
      </c>
      <c r="Y11" s="176" t="s">
        <v>1408</v>
      </c>
      <c r="Z11" s="176">
        <v>252.0</v>
      </c>
      <c r="AA11" s="176" t="s">
        <v>1408</v>
      </c>
      <c r="AB11" s="176" t="s">
        <v>1408</v>
      </c>
      <c r="AC11" s="176" t="s">
        <v>1408</v>
      </c>
      <c r="AD11" s="180">
        <f t="shared" si="6"/>
        <v>272.7272727</v>
      </c>
    </row>
    <row r="12">
      <c r="A12" s="61" t="s">
        <v>1415</v>
      </c>
      <c r="B12" s="158"/>
      <c r="C12" s="175">
        <v>7.541E7</v>
      </c>
      <c r="D12" s="175">
        <f>2*29452</f>
        <v>58904</v>
      </c>
      <c r="E12" s="161"/>
      <c r="F12" s="176"/>
      <c r="G12" s="175">
        <v>0.0</v>
      </c>
      <c r="H12" s="176"/>
      <c r="I12" s="175">
        <v>20.0</v>
      </c>
      <c r="J12" s="176"/>
      <c r="K12" s="175">
        <v>-15.0</v>
      </c>
      <c r="L12" s="176"/>
      <c r="M12" s="175">
        <v>10.0</v>
      </c>
      <c r="N12" s="176"/>
      <c r="O12" s="175">
        <v>20.0</v>
      </c>
      <c r="P12" s="176"/>
      <c r="Q12" s="175">
        <v>50.0</v>
      </c>
      <c r="R12" s="176"/>
      <c r="S12" s="175">
        <v>-40.0</v>
      </c>
      <c r="T12" s="176"/>
      <c r="U12" s="175">
        <v>15.0</v>
      </c>
      <c r="V12" s="158"/>
      <c r="W12" s="176" t="s">
        <v>1408</v>
      </c>
      <c r="X12" s="176">
        <v>252.0</v>
      </c>
      <c r="Y12" s="176" t="s">
        <v>1408</v>
      </c>
      <c r="Z12" s="176">
        <v>252.0</v>
      </c>
      <c r="AA12" s="176" t="s">
        <v>1408</v>
      </c>
      <c r="AB12" s="176" t="s">
        <v>1408</v>
      </c>
      <c r="AC12" s="176" t="s">
        <v>1408</v>
      </c>
      <c r="AD12" s="175">
        <f>600/0.55</f>
        <v>1090.909091</v>
      </c>
    </row>
    <row r="13">
      <c r="A13" s="61" t="s">
        <v>1416</v>
      </c>
      <c r="B13" s="158"/>
      <c r="C13" s="175">
        <v>7.561001E7</v>
      </c>
      <c r="D13" s="175">
        <f>2*13048</f>
        <v>26096</v>
      </c>
      <c r="E13" s="161"/>
      <c r="F13" s="176"/>
      <c r="G13" s="175">
        <v>0.0</v>
      </c>
      <c r="H13" s="176"/>
      <c r="I13" s="175">
        <v>0.0</v>
      </c>
      <c r="J13" s="176"/>
      <c r="K13" s="175">
        <v>-10.0</v>
      </c>
      <c r="L13" s="176"/>
      <c r="M13" s="175">
        <v>0.0</v>
      </c>
      <c r="N13" s="176"/>
      <c r="O13" s="175">
        <v>20.0</v>
      </c>
      <c r="P13" s="176"/>
      <c r="Q13" s="175">
        <v>-20.0</v>
      </c>
      <c r="R13" s="176"/>
      <c r="S13" s="175">
        <v>0.0</v>
      </c>
      <c r="T13" s="176"/>
      <c r="U13" s="175">
        <v>-35.0</v>
      </c>
      <c r="V13" s="158"/>
      <c r="W13" s="176">
        <v>154.0</v>
      </c>
      <c r="X13" s="176">
        <v>154.0</v>
      </c>
      <c r="Y13" s="176">
        <v>252.0</v>
      </c>
      <c r="Z13" s="176">
        <v>252.0</v>
      </c>
      <c r="AA13" s="176" t="s">
        <v>1408</v>
      </c>
      <c r="AB13" s="176">
        <v>154.0</v>
      </c>
      <c r="AC13" s="176" t="s">
        <v>1408</v>
      </c>
      <c r="AD13" s="175">
        <f>120/0.55</f>
        <v>218.1818182</v>
      </c>
    </row>
    <row r="14">
      <c r="A14" s="61" t="s">
        <v>1417</v>
      </c>
      <c r="B14" s="158"/>
      <c r="C14" s="178">
        <v>7.600101E7</v>
      </c>
      <c r="D14" s="178">
        <f>2*14273</f>
        <v>28546</v>
      </c>
      <c r="E14" s="161"/>
      <c r="F14" s="176"/>
      <c r="G14" s="175">
        <v>0.0</v>
      </c>
      <c r="H14" s="176"/>
      <c r="I14" s="175">
        <v>0.0</v>
      </c>
      <c r="J14" s="176"/>
      <c r="K14" s="175">
        <v>0.0</v>
      </c>
      <c r="L14" s="176"/>
      <c r="M14" s="175">
        <v>0.0</v>
      </c>
      <c r="N14" s="176"/>
      <c r="O14" s="176">
        <v>0.0</v>
      </c>
      <c r="P14" s="176"/>
      <c r="Q14" s="175">
        <v>0.0</v>
      </c>
      <c r="R14" s="176"/>
      <c r="S14" s="175">
        <v>-20.0</v>
      </c>
      <c r="T14" s="176"/>
      <c r="U14" s="175">
        <v>30.0</v>
      </c>
      <c r="V14" s="158"/>
      <c r="W14" s="176">
        <v>154.0</v>
      </c>
      <c r="X14" s="176">
        <v>154.0</v>
      </c>
      <c r="Y14" s="176">
        <v>154.0</v>
      </c>
      <c r="Z14" s="176">
        <v>154.0</v>
      </c>
      <c r="AA14" s="176">
        <v>154.0</v>
      </c>
      <c r="AB14" s="176" t="s">
        <v>1408</v>
      </c>
      <c r="AC14" s="176" t="s">
        <v>1408</v>
      </c>
      <c r="AD14" s="175">
        <f>155/0.55</f>
        <v>281.8181818</v>
      </c>
    </row>
    <row r="15">
      <c r="A15" s="61" t="s">
        <v>1418</v>
      </c>
      <c r="B15" s="158"/>
      <c r="C15" s="180">
        <v>4.901001E7</v>
      </c>
      <c r="D15" s="175">
        <f>2*12007</f>
        <v>24014</v>
      </c>
      <c r="E15" s="161"/>
      <c r="F15" s="176"/>
      <c r="G15" s="175">
        <v>0.0</v>
      </c>
      <c r="H15" s="176"/>
      <c r="I15" s="175">
        <v>-15.0</v>
      </c>
      <c r="J15" s="176"/>
      <c r="K15" s="175">
        <v>15.0</v>
      </c>
      <c r="L15" s="176"/>
      <c r="M15" s="175">
        <v>10.0</v>
      </c>
      <c r="N15" s="176"/>
      <c r="O15" s="175">
        <v>20.0</v>
      </c>
      <c r="P15" s="176"/>
      <c r="Q15" s="175">
        <v>-35.0</v>
      </c>
      <c r="R15" s="176"/>
      <c r="S15" s="175">
        <v>20.0</v>
      </c>
      <c r="T15" s="176"/>
      <c r="U15" s="175">
        <v>20.0</v>
      </c>
      <c r="V15" s="158"/>
      <c r="W15" s="176">
        <v>252.0</v>
      </c>
      <c r="X15" s="176">
        <v>252.0</v>
      </c>
      <c r="Y15" s="176">
        <v>252.0</v>
      </c>
      <c r="Z15" s="176">
        <v>542.0</v>
      </c>
      <c r="AA15" s="176">
        <v>542.0</v>
      </c>
      <c r="AB15" s="176" t="s">
        <v>1408</v>
      </c>
      <c r="AC15" s="176" t="s">
        <v>1408</v>
      </c>
      <c r="AD15" s="175">
        <f>160/0.55</f>
        <v>290.9090909</v>
      </c>
    </row>
    <row r="16" ht="1.5" customHeight="1">
      <c r="A16" s="213"/>
      <c r="B16" s="158"/>
      <c r="C16" s="214"/>
      <c r="D16" s="215"/>
      <c r="E16" s="161"/>
      <c r="F16" s="216"/>
      <c r="G16" s="217"/>
      <c r="H16" s="216"/>
      <c r="I16" s="217"/>
      <c r="J16" s="216"/>
      <c r="K16" s="217"/>
      <c r="L16" s="216"/>
      <c r="M16" s="217"/>
      <c r="N16" s="218"/>
      <c r="O16" s="219"/>
      <c r="P16" s="220"/>
      <c r="Q16" s="221"/>
      <c r="R16" s="222"/>
      <c r="S16" s="223"/>
      <c r="T16" s="224"/>
      <c r="U16" s="225"/>
      <c r="V16" s="158"/>
      <c r="W16" s="226"/>
      <c r="X16" s="227"/>
      <c r="Y16" s="228"/>
      <c r="Z16" s="229"/>
      <c r="AA16" s="230"/>
      <c r="AB16" s="231"/>
      <c r="AC16" s="232"/>
      <c r="AD16" s="233"/>
    </row>
  </sheetData>
  <mergeCells count="8">
    <mergeCell ref="F1:G1"/>
    <mergeCell ref="H1:I1"/>
    <mergeCell ref="J1:K1"/>
    <mergeCell ref="L1:M1"/>
    <mergeCell ref="N1:O1"/>
    <mergeCell ref="P1:Q1"/>
    <mergeCell ref="R1:S1"/>
    <mergeCell ref="T1:U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88"/>
    <col customWidth="1" min="2" max="2" width="0.38"/>
    <col customWidth="1" min="5" max="6" width="0.38"/>
    <col customWidth="1" min="7" max="7" width="13.75"/>
    <col customWidth="1" min="8" max="8" width="0.38"/>
    <col customWidth="1" min="10" max="10" width="0.38"/>
    <col customWidth="1" min="12" max="12" width="0.38"/>
    <col customWidth="1" min="14" max="14" width="0.38"/>
    <col customWidth="1" min="16" max="16" width="0.38"/>
    <col customWidth="1" min="18" max="18" width="0.38"/>
    <col customWidth="1" min="20" max="20" width="0.38"/>
    <col customWidth="1" min="22" max="22" width="0.38"/>
  </cols>
  <sheetData>
    <row r="1">
      <c r="A1" s="157" t="s">
        <v>17</v>
      </c>
      <c r="B1" s="158"/>
      <c r="C1" s="159" t="s">
        <v>1397</v>
      </c>
      <c r="D1" s="160" t="s">
        <v>1398</v>
      </c>
      <c r="E1" s="161"/>
      <c r="F1" s="204" t="s">
        <v>1399</v>
      </c>
      <c r="G1" s="163"/>
      <c r="H1" s="204" t="s">
        <v>1400</v>
      </c>
      <c r="I1" s="163"/>
      <c r="J1" s="204" t="s">
        <v>1401</v>
      </c>
      <c r="K1" s="163"/>
      <c r="L1" s="204" t="s">
        <v>1402</v>
      </c>
      <c r="M1" s="163"/>
      <c r="N1" s="205" t="s">
        <v>1403</v>
      </c>
      <c r="O1" s="163"/>
      <c r="P1" s="206" t="s">
        <v>1404</v>
      </c>
      <c r="Q1" s="163"/>
      <c r="R1" s="207" t="s">
        <v>1405</v>
      </c>
      <c r="S1" s="163"/>
      <c r="T1" s="208" t="s">
        <v>1406</v>
      </c>
      <c r="U1" s="163"/>
      <c r="V1" s="158"/>
      <c r="W1" s="168" t="s">
        <v>1388</v>
      </c>
      <c r="X1" s="169" t="s">
        <v>1389</v>
      </c>
      <c r="Y1" s="170" t="s">
        <v>1390</v>
      </c>
      <c r="Z1" s="171" t="s">
        <v>1391</v>
      </c>
      <c r="AA1" s="172" t="s">
        <v>1392</v>
      </c>
      <c r="AB1" s="173" t="s">
        <v>1393</v>
      </c>
      <c r="AC1" s="174" t="s">
        <v>1394</v>
      </c>
      <c r="AD1" s="159" t="s">
        <v>1395</v>
      </c>
    </row>
    <row r="2">
      <c r="A2" s="61" t="s">
        <v>1407</v>
      </c>
      <c r="B2" s="158"/>
      <c r="C2" s="180">
        <v>7.500021E7</v>
      </c>
      <c r="D2" s="175">
        <f t="shared" ref="D2:D4" si="1">3*11328</f>
        <v>33984</v>
      </c>
      <c r="E2" s="161"/>
      <c r="F2" s="176"/>
      <c r="G2" s="175">
        <v>0.0</v>
      </c>
      <c r="H2" s="176"/>
      <c r="I2" s="175">
        <v>0.0</v>
      </c>
      <c r="J2" s="176"/>
      <c r="K2" s="175">
        <v>0.0</v>
      </c>
      <c r="L2" s="176"/>
      <c r="M2" s="175">
        <v>-10.0</v>
      </c>
      <c r="N2" s="176"/>
      <c r="O2" s="175">
        <v>0.0</v>
      </c>
      <c r="P2" s="176"/>
      <c r="Q2" s="175">
        <v>50.0</v>
      </c>
      <c r="R2" s="176"/>
      <c r="S2" s="175">
        <v>0.0</v>
      </c>
      <c r="T2" s="176"/>
      <c r="U2" s="175">
        <v>-35.0</v>
      </c>
      <c r="V2" s="158"/>
      <c r="W2" s="176">
        <v>542.0</v>
      </c>
      <c r="X2" s="176">
        <v>252.0</v>
      </c>
      <c r="Y2" s="176">
        <v>252.0</v>
      </c>
      <c r="Z2" s="176">
        <v>542.0</v>
      </c>
      <c r="AA2" s="176">
        <v>154.0</v>
      </c>
      <c r="AB2" s="176" t="s">
        <v>1408</v>
      </c>
      <c r="AC2" s="176" t="s">
        <v>1408</v>
      </c>
      <c r="AD2" s="175">
        <f t="shared" ref="AD2:AD4" si="2">120/0.3</f>
        <v>400</v>
      </c>
    </row>
    <row r="3">
      <c r="A3" s="209" t="s">
        <v>1426</v>
      </c>
      <c r="B3" s="158"/>
      <c r="C3" s="180">
        <v>7.500221E7</v>
      </c>
      <c r="D3" s="175">
        <f t="shared" si="1"/>
        <v>33984</v>
      </c>
      <c r="E3" s="161"/>
      <c r="F3" s="176"/>
      <c r="G3" s="175">
        <v>0.0</v>
      </c>
      <c r="H3" s="176"/>
      <c r="I3" s="175">
        <v>0.0</v>
      </c>
      <c r="J3" s="176"/>
      <c r="K3" s="175">
        <v>0.0</v>
      </c>
      <c r="L3" s="176"/>
      <c r="M3" s="175">
        <v>-10.0</v>
      </c>
      <c r="N3" s="176"/>
      <c r="O3" s="175">
        <v>0.0</v>
      </c>
      <c r="P3" s="176"/>
      <c r="Q3" s="175">
        <v>50.0</v>
      </c>
      <c r="R3" s="176"/>
      <c r="S3" s="175">
        <v>0.0</v>
      </c>
      <c r="T3" s="176"/>
      <c r="U3" s="175">
        <v>-35.0</v>
      </c>
      <c r="V3" s="158"/>
      <c r="W3" s="176">
        <v>542.0</v>
      </c>
      <c r="X3" s="176">
        <v>252.0</v>
      </c>
      <c r="Y3" s="176">
        <v>252.0</v>
      </c>
      <c r="Z3" s="176">
        <v>542.0</v>
      </c>
      <c r="AA3" s="176">
        <v>154.0</v>
      </c>
      <c r="AB3" s="176" t="s">
        <v>1408</v>
      </c>
      <c r="AC3" s="176" t="s">
        <v>1408</v>
      </c>
      <c r="AD3" s="175">
        <f t="shared" si="2"/>
        <v>400</v>
      </c>
    </row>
    <row r="4">
      <c r="A4" s="209" t="s">
        <v>1426</v>
      </c>
      <c r="B4" s="158"/>
      <c r="C4" s="180">
        <v>7.500321E7</v>
      </c>
      <c r="D4" s="175">
        <f t="shared" si="1"/>
        <v>33984</v>
      </c>
      <c r="E4" s="161"/>
      <c r="F4" s="176"/>
      <c r="G4" s="175">
        <v>0.0</v>
      </c>
      <c r="H4" s="176"/>
      <c r="I4" s="175">
        <v>0.0</v>
      </c>
      <c r="J4" s="176"/>
      <c r="K4" s="175">
        <v>0.0</v>
      </c>
      <c r="L4" s="176"/>
      <c r="M4" s="175">
        <v>-10.0</v>
      </c>
      <c r="N4" s="176"/>
      <c r="O4" s="175">
        <v>0.0</v>
      </c>
      <c r="P4" s="176"/>
      <c r="Q4" s="175">
        <v>50.0</v>
      </c>
      <c r="R4" s="176"/>
      <c r="S4" s="175">
        <v>0.0</v>
      </c>
      <c r="T4" s="176"/>
      <c r="U4" s="175">
        <v>-35.0</v>
      </c>
      <c r="V4" s="158"/>
      <c r="W4" s="176">
        <v>542.0</v>
      </c>
      <c r="X4" s="176">
        <v>252.0</v>
      </c>
      <c r="Y4" s="176">
        <v>252.0</v>
      </c>
      <c r="Z4" s="176">
        <v>542.0</v>
      </c>
      <c r="AA4" s="176">
        <v>154.0</v>
      </c>
      <c r="AB4" s="176" t="s">
        <v>1408</v>
      </c>
      <c r="AC4" s="176" t="s">
        <v>1408</v>
      </c>
      <c r="AD4" s="175">
        <f t="shared" si="2"/>
        <v>400</v>
      </c>
    </row>
    <row r="5">
      <c r="A5" s="61" t="s">
        <v>1410</v>
      </c>
      <c r="B5" s="158"/>
      <c r="C5" s="178">
        <v>7.511001E7</v>
      </c>
      <c r="D5" s="178">
        <f>3*16426</f>
        <v>49278</v>
      </c>
      <c r="E5" s="161"/>
      <c r="F5" s="176"/>
      <c r="G5" s="175">
        <v>0.0</v>
      </c>
      <c r="H5" s="176"/>
      <c r="I5" s="175">
        <v>0.0</v>
      </c>
      <c r="J5" s="176"/>
      <c r="K5" s="175">
        <v>0.0</v>
      </c>
      <c r="L5" s="176"/>
      <c r="M5" s="175">
        <v>0.0</v>
      </c>
      <c r="N5" s="176"/>
      <c r="O5" s="175">
        <v>0.0</v>
      </c>
      <c r="P5" s="176"/>
      <c r="Q5" s="175">
        <v>20.0</v>
      </c>
      <c r="R5" s="176"/>
      <c r="S5" s="175">
        <v>50.0</v>
      </c>
      <c r="T5" s="176"/>
      <c r="U5" s="175">
        <v>0.0</v>
      </c>
      <c r="V5" s="158"/>
      <c r="W5" s="176">
        <v>154.0</v>
      </c>
      <c r="X5" s="176">
        <v>154.0</v>
      </c>
      <c r="Y5" s="176">
        <v>542.0</v>
      </c>
      <c r="Z5" s="179">
        <v>154.0</v>
      </c>
      <c r="AA5" s="176">
        <v>154.0</v>
      </c>
      <c r="AB5" s="176" t="s">
        <v>1408</v>
      </c>
      <c r="AC5" s="176" t="s">
        <v>1408</v>
      </c>
      <c r="AD5" s="175">
        <f>150/0.3</f>
        <v>500</v>
      </c>
    </row>
    <row r="6">
      <c r="A6" s="209" t="s">
        <v>1411</v>
      </c>
      <c r="B6" s="158"/>
      <c r="C6" s="210">
        <v>7.520012E7</v>
      </c>
      <c r="D6" s="178">
        <f t="shared" ref="D6:D7" si="3">3*7816</f>
        <v>23448</v>
      </c>
      <c r="E6" s="161"/>
      <c r="F6" s="176"/>
      <c r="G6" s="175">
        <v>-15.0</v>
      </c>
      <c r="H6" s="176"/>
      <c r="I6" s="175">
        <v>-15.0</v>
      </c>
      <c r="J6" s="176"/>
      <c r="K6" s="175">
        <v>-25.0</v>
      </c>
      <c r="L6" s="176"/>
      <c r="M6" s="175">
        <v>-25.0</v>
      </c>
      <c r="N6" s="176"/>
      <c r="O6" s="175">
        <v>50.0</v>
      </c>
      <c r="P6" s="176"/>
      <c r="Q6" s="175">
        <v>-40.0</v>
      </c>
      <c r="R6" s="176"/>
      <c r="S6" s="175">
        <v>10.0</v>
      </c>
      <c r="T6" s="176"/>
      <c r="U6" s="175">
        <v>10.0</v>
      </c>
      <c r="V6" s="158"/>
      <c r="W6" s="176">
        <v>542.0</v>
      </c>
      <c r="X6" s="176">
        <v>154.0</v>
      </c>
      <c r="Y6" s="176">
        <v>154.0</v>
      </c>
      <c r="Z6" s="176">
        <v>154.0</v>
      </c>
      <c r="AA6" s="176">
        <v>542.0</v>
      </c>
      <c r="AB6" s="176" t="s">
        <v>1408</v>
      </c>
      <c r="AC6" s="176" t="s">
        <v>1408</v>
      </c>
      <c r="AD6" s="175">
        <f t="shared" ref="AD6:AD8" si="4">100/0.3</f>
        <v>333.3333333</v>
      </c>
    </row>
    <row r="7">
      <c r="A7" s="209" t="s">
        <v>1412</v>
      </c>
      <c r="B7" s="158"/>
      <c r="C7" s="211">
        <v>7.520003E7</v>
      </c>
      <c r="D7" s="178">
        <f t="shared" si="3"/>
        <v>23448</v>
      </c>
      <c r="E7" s="161"/>
      <c r="F7" s="176"/>
      <c r="G7" s="175">
        <v>-15.0</v>
      </c>
      <c r="H7" s="176"/>
      <c r="I7" s="175">
        <v>-15.0</v>
      </c>
      <c r="J7" s="176"/>
      <c r="K7" s="175">
        <v>-25.0</v>
      </c>
      <c r="L7" s="176"/>
      <c r="M7" s="175">
        <v>-25.0</v>
      </c>
      <c r="N7" s="176"/>
      <c r="O7" s="175">
        <v>50.0</v>
      </c>
      <c r="P7" s="176"/>
      <c r="Q7" s="175">
        <v>-40.0</v>
      </c>
      <c r="R7" s="176"/>
      <c r="S7" s="175">
        <v>10.0</v>
      </c>
      <c r="T7" s="176"/>
      <c r="U7" s="175">
        <v>10.0</v>
      </c>
      <c r="V7" s="158"/>
      <c r="W7" s="176">
        <v>542.0</v>
      </c>
      <c r="X7" s="176">
        <v>154.0</v>
      </c>
      <c r="Y7" s="176">
        <v>154.0</v>
      </c>
      <c r="Z7" s="176">
        <v>154.0</v>
      </c>
      <c r="AA7" s="176">
        <v>542.0</v>
      </c>
      <c r="AB7" s="176" t="s">
        <v>1408</v>
      </c>
      <c r="AC7" s="176" t="s">
        <v>1408</v>
      </c>
      <c r="AD7" s="175">
        <f t="shared" si="4"/>
        <v>333.3333333</v>
      </c>
    </row>
    <row r="8">
      <c r="A8" s="209" t="s">
        <v>1427</v>
      </c>
      <c r="B8" s="158"/>
      <c r="C8" s="180">
        <v>7.521001E7</v>
      </c>
      <c r="D8" s="178">
        <f>3*6364</f>
        <v>19092</v>
      </c>
      <c r="E8" s="161"/>
      <c r="F8" s="176"/>
      <c r="G8" s="178">
        <v>0.0</v>
      </c>
      <c r="H8" s="176"/>
      <c r="I8" s="178">
        <v>0.0</v>
      </c>
      <c r="J8" s="176"/>
      <c r="K8" s="178">
        <v>0.0</v>
      </c>
      <c r="L8" s="176"/>
      <c r="M8" s="178">
        <v>0.0</v>
      </c>
      <c r="N8" s="176"/>
      <c r="O8" s="178">
        <v>0.0</v>
      </c>
      <c r="P8" s="176"/>
      <c r="Q8" s="178">
        <v>0.0</v>
      </c>
      <c r="R8" s="176"/>
      <c r="S8" s="178">
        <v>0.0</v>
      </c>
      <c r="T8" s="176"/>
      <c r="U8" s="178">
        <v>0.0</v>
      </c>
      <c r="V8" s="158"/>
      <c r="W8" s="176" t="s">
        <v>1408</v>
      </c>
      <c r="X8" s="176" t="s">
        <v>1408</v>
      </c>
      <c r="Y8" s="176" t="s">
        <v>1408</v>
      </c>
      <c r="Z8" s="176" t="s">
        <v>1408</v>
      </c>
      <c r="AA8" s="176" t="s">
        <v>1408</v>
      </c>
      <c r="AB8" s="176" t="s">
        <v>1408</v>
      </c>
      <c r="AC8" s="176" t="s">
        <v>1408</v>
      </c>
      <c r="AD8" s="178">
        <f t="shared" si="4"/>
        <v>333.3333333</v>
      </c>
    </row>
    <row r="9">
      <c r="A9" s="209" t="s">
        <v>1413</v>
      </c>
      <c r="B9" s="158"/>
      <c r="C9" s="178">
        <v>7.530012E7</v>
      </c>
      <c r="D9" s="178">
        <f t="shared" ref="D9:D10" si="5">3*8564</f>
        <v>25692</v>
      </c>
      <c r="E9" s="161"/>
      <c r="F9" s="176"/>
      <c r="G9" s="175">
        <v>10.0</v>
      </c>
      <c r="H9" s="176"/>
      <c r="I9" s="175">
        <v>-20.0</v>
      </c>
      <c r="J9" s="176"/>
      <c r="K9" s="175">
        <v>20.0</v>
      </c>
      <c r="L9" s="176"/>
      <c r="M9" s="175">
        <v>-10.0</v>
      </c>
      <c r="N9" s="176"/>
      <c r="O9" s="175">
        <v>10.0</v>
      </c>
      <c r="P9" s="176"/>
      <c r="Q9" s="175">
        <v>-35.0</v>
      </c>
      <c r="R9" s="176"/>
      <c r="S9" s="175">
        <v>10.0</v>
      </c>
      <c r="T9" s="176"/>
      <c r="U9" s="175">
        <v>10.0</v>
      </c>
      <c r="V9" s="158"/>
      <c r="W9" s="176">
        <v>252.0</v>
      </c>
      <c r="X9" s="176">
        <v>154.0</v>
      </c>
      <c r="Y9" s="176">
        <v>154.0</v>
      </c>
      <c r="Z9" s="176">
        <v>154.0</v>
      </c>
      <c r="AA9" s="176">
        <v>154.0</v>
      </c>
      <c r="AB9" s="176" t="s">
        <v>1408</v>
      </c>
      <c r="AC9" s="176" t="s">
        <v>1408</v>
      </c>
      <c r="AD9" s="175">
        <f t="shared" ref="AD9:AD11" si="6">150/0.3</f>
        <v>500</v>
      </c>
    </row>
    <row r="10">
      <c r="A10" s="209" t="s">
        <v>1414</v>
      </c>
      <c r="B10" s="158"/>
      <c r="C10" s="180">
        <v>7.530002E7</v>
      </c>
      <c r="D10" s="178">
        <f t="shared" si="5"/>
        <v>25692</v>
      </c>
      <c r="E10" s="161"/>
      <c r="F10" s="176"/>
      <c r="G10" s="175">
        <v>10.0</v>
      </c>
      <c r="H10" s="176"/>
      <c r="I10" s="175">
        <v>-20.0</v>
      </c>
      <c r="J10" s="176"/>
      <c r="K10" s="175">
        <v>20.0</v>
      </c>
      <c r="L10" s="176"/>
      <c r="M10" s="175">
        <v>-10.0</v>
      </c>
      <c r="N10" s="176"/>
      <c r="O10" s="175">
        <v>10.0</v>
      </c>
      <c r="P10" s="176"/>
      <c r="Q10" s="175">
        <v>-35.0</v>
      </c>
      <c r="R10" s="176"/>
      <c r="S10" s="175">
        <v>10.0</v>
      </c>
      <c r="T10" s="176"/>
      <c r="U10" s="175">
        <v>10.0</v>
      </c>
      <c r="V10" s="158"/>
      <c r="W10" s="176">
        <v>252.0</v>
      </c>
      <c r="X10" s="176">
        <v>154.0</v>
      </c>
      <c r="Y10" s="176">
        <v>154.0</v>
      </c>
      <c r="Z10" s="176">
        <v>154.0</v>
      </c>
      <c r="AA10" s="176">
        <v>154.0</v>
      </c>
      <c r="AB10" s="176" t="s">
        <v>1408</v>
      </c>
      <c r="AC10" s="176" t="s">
        <v>1408</v>
      </c>
      <c r="AD10" s="175">
        <f t="shared" si="6"/>
        <v>500</v>
      </c>
    </row>
    <row r="11">
      <c r="A11" s="209" t="s">
        <v>1428</v>
      </c>
      <c r="B11" s="158"/>
      <c r="C11" s="180">
        <v>7.54001E7</v>
      </c>
      <c r="D11" s="180">
        <f>3*3171</f>
        <v>9513</v>
      </c>
      <c r="E11" s="161"/>
      <c r="F11" s="176"/>
      <c r="G11" s="180">
        <v>0.0</v>
      </c>
      <c r="H11" s="176"/>
      <c r="I11" s="180">
        <v>20.0</v>
      </c>
      <c r="J11" s="176"/>
      <c r="K11" s="180">
        <v>-15.0</v>
      </c>
      <c r="L11" s="176"/>
      <c r="M11" s="180">
        <v>10.0</v>
      </c>
      <c r="N11" s="176"/>
      <c r="O11" s="180">
        <v>20.0</v>
      </c>
      <c r="P11" s="176"/>
      <c r="Q11" s="180">
        <v>50.0</v>
      </c>
      <c r="R11" s="176"/>
      <c r="S11" s="180">
        <v>-40.0</v>
      </c>
      <c r="T11" s="176"/>
      <c r="U11" s="180">
        <v>15.0</v>
      </c>
      <c r="V11" s="158"/>
      <c r="W11" s="176" t="s">
        <v>1408</v>
      </c>
      <c r="X11" s="176">
        <v>252.0</v>
      </c>
      <c r="Y11" s="176" t="s">
        <v>1408</v>
      </c>
      <c r="Z11" s="176">
        <v>252.0</v>
      </c>
      <c r="AA11" s="176" t="s">
        <v>1408</v>
      </c>
      <c r="AB11" s="176" t="s">
        <v>1408</v>
      </c>
      <c r="AC11" s="176" t="s">
        <v>1408</v>
      </c>
      <c r="AD11" s="180">
        <f t="shared" si="6"/>
        <v>500</v>
      </c>
    </row>
    <row r="12">
      <c r="A12" s="61" t="s">
        <v>1415</v>
      </c>
      <c r="B12" s="158"/>
      <c r="C12" s="175">
        <v>7.541E7</v>
      </c>
      <c r="D12" s="175">
        <f>3*29452</f>
        <v>88356</v>
      </c>
      <c r="E12" s="161"/>
      <c r="F12" s="176"/>
      <c r="G12" s="175">
        <v>0.0</v>
      </c>
      <c r="H12" s="176"/>
      <c r="I12" s="175">
        <v>20.0</v>
      </c>
      <c r="J12" s="176"/>
      <c r="K12" s="175">
        <v>-15.0</v>
      </c>
      <c r="L12" s="176"/>
      <c r="M12" s="175">
        <v>10.0</v>
      </c>
      <c r="N12" s="176"/>
      <c r="O12" s="175">
        <v>20.0</v>
      </c>
      <c r="P12" s="176"/>
      <c r="Q12" s="175">
        <v>50.0</v>
      </c>
      <c r="R12" s="176"/>
      <c r="S12" s="175">
        <v>-40.0</v>
      </c>
      <c r="T12" s="176"/>
      <c r="U12" s="175">
        <v>15.0</v>
      </c>
      <c r="V12" s="158"/>
      <c r="W12" s="176" t="s">
        <v>1408</v>
      </c>
      <c r="X12" s="176">
        <v>252.0</v>
      </c>
      <c r="Y12" s="176" t="s">
        <v>1408</v>
      </c>
      <c r="Z12" s="176">
        <v>252.0</v>
      </c>
      <c r="AA12" s="176" t="s">
        <v>1408</v>
      </c>
      <c r="AB12" s="176" t="s">
        <v>1408</v>
      </c>
      <c r="AC12" s="176" t="s">
        <v>1408</v>
      </c>
      <c r="AD12" s="175">
        <f>600/0.3</f>
        <v>2000</v>
      </c>
    </row>
    <row r="13">
      <c r="A13" s="61" t="s">
        <v>1416</v>
      </c>
      <c r="B13" s="158"/>
      <c r="C13" s="175">
        <v>7.561001E7</v>
      </c>
      <c r="D13" s="175">
        <f>3*13048</f>
        <v>39144</v>
      </c>
      <c r="E13" s="161"/>
      <c r="F13" s="176"/>
      <c r="G13" s="175">
        <v>0.0</v>
      </c>
      <c r="H13" s="176"/>
      <c r="I13" s="175">
        <v>0.0</v>
      </c>
      <c r="J13" s="176"/>
      <c r="K13" s="175">
        <v>-10.0</v>
      </c>
      <c r="L13" s="176"/>
      <c r="M13" s="175">
        <v>0.0</v>
      </c>
      <c r="N13" s="176"/>
      <c r="O13" s="175">
        <v>20.0</v>
      </c>
      <c r="P13" s="176"/>
      <c r="Q13" s="175">
        <v>-20.0</v>
      </c>
      <c r="R13" s="176"/>
      <c r="S13" s="175">
        <v>0.0</v>
      </c>
      <c r="T13" s="176"/>
      <c r="U13" s="175">
        <v>-35.0</v>
      </c>
      <c r="V13" s="158"/>
      <c r="W13" s="176">
        <v>154.0</v>
      </c>
      <c r="X13" s="176">
        <v>154.0</v>
      </c>
      <c r="Y13" s="176">
        <v>252.0</v>
      </c>
      <c r="Z13" s="176">
        <v>252.0</v>
      </c>
      <c r="AA13" s="176" t="s">
        <v>1408</v>
      </c>
      <c r="AB13" s="176">
        <v>154.0</v>
      </c>
      <c r="AC13" s="176" t="s">
        <v>1408</v>
      </c>
      <c r="AD13" s="175">
        <f>120/0.3</f>
        <v>400</v>
      </c>
    </row>
    <row r="14">
      <c r="A14" s="61" t="s">
        <v>1417</v>
      </c>
      <c r="B14" s="158"/>
      <c r="C14" s="178">
        <v>7.600101E7</v>
      </c>
      <c r="D14" s="178">
        <f>3*14273</f>
        <v>42819</v>
      </c>
      <c r="E14" s="161"/>
      <c r="F14" s="176"/>
      <c r="G14" s="175">
        <v>0.0</v>
      </c>
      <c r="H14" s="176"/>
      <c r="I14" s="175">
        <v>0.0</v>
      </c>
      <c r="J14" s="176"/>
      <c r="K14" s="175">
        <v>0.0</v>
      </c>
      <c r="L14" s="176"/>
      <c r="M14" s="175">
        <v>0.0</v>
      </c>
      <c r="N14" s="176"/>
      <c r="O14" s="176">
        <v>0.0</v>
      </c>
      <c r="P14" s="176"/>
      <c r="Q14" s="175">
        <v>0.0</v>
      </c>
      <c r="R14" s="176"/>
      <c r="S14" s="175">
        <v>-20.0</v>
      </c>
      <c r="T14" s="176"/>
      <c r="U14" s="175">
        <v>30.0</v>
      </c>
      <c r="V14" s="158"/>
      <c r="W14" s="176">
        <v>154.0</v>
      </c>
      <c r="X14" s="176">
        <v>154.0</v>
      </c>
      <c r="Y14" s="176">
        <v>154.0</v>
      </c>
      <c r="Z14" s="176">
        <v>154.0</v>
      </c>
      <c r="AA14" s="176">
        <v>154.0</v>
      </c>
      <c r="AB14" s="176" t="s">
        <v>1408</v>
      </c>
      <c r="AC14" s="176" t="s">
        <v>1408</v>
      </c>
      <c r="AD14" s="175">
        <f>155/0.3</f>
        <v>516.6666667</v>
      </c>
    </row>
    <row r="15">
      <c r="A15" s="61" t="s">
        <v>1418</v>
      </c>
      <c r="B15" s="158"/>
      <c r="C15" s="180">
        <v>4.901001E7</v>
      </c>
      <c r="D15" s="175">
        <f>3*12007</f>
        <v>36021</v>
      </c>
      <c r="E15" s="161"/>
      <c r="F15" s="176"/>
      <c r="G15" s="175">
        <v>0.0</v>
      </c>
      <c r="H15" s="176"/>
      <c r="I15" s="175">
        <v>-15.0</v>
      </c>
      <c r="J15" s="176"/>
      <c r="K15" s="175">
        <v>15.0</v>
      </c>
      <c r="L15" s="176"/>
      <c r="M15" s="175">
        <v>10.0</v>
      </c>
      <c r="N15" s="176"/>
      <c r="O15" s="175">
        <v>20.0</v>
      </c>
      <c r="P15" s="176"/>
      <c r="Q15" s="175">
        <v>-35.0</v>
      </c>
      <c r="R15" s="176"/>
      <c r="S15" s="175">
        <v>20.0</v>
      </c>
      <c r="T15" s="176"/>
      <c r="U15" s="175">
        <v>20.0</v>
      </c>
      <c r="V15" s="158"/>
      <c r="W15" s="176">
        <v>252.0</v>
      </c>
      <c r="X15" s="176">
        <v>252.0</v>
      </c>
      <c r="Y15" s="176">
        <v>252.0</v>
      </c>
      <c r="Z15" s="176">
        <v>542.0</v>
      </c>
      <c r="AA15" s="176">
        <v>542.0</v>
      </c>
      <c r="AB15" s="176" t="s">
        <v>1408</v>
      </c>
      <c r="AC15" s="176" t="s">
        <v>1408</v>
      </c>
      <c r="AD15" s="175">
        <f>160/0.3</f>
        <v>533.3333333</v>
      </c>
    </row>
    <row r="16" ht="1.5" customHeight="1">
      <c r="A16" s="213"/>
      <c r="B16" s="158"/>
      <c r="C16" s="214"/>
      <c r="D16" s="215"/>
      <c r="E16" s="161"/>
      <c r="F16" s="216"/>
      <c r="G16" s="217"/>
      <c r="H16" s="216"/>
      <c r="I16" s="217"/>
      <c r="J16" s="216"/>
      <c r="K16" s="217"/>
      <c r="L16" s="216"/>
      <c r="M16" s="217"/>
      <c r="N16" s="218"/>
      <c r="O16" s="219"/>
      <c r="P16" s="220"/>
      <c r="Q16" s="221"/>
      <c r="R16" s="222"/>
      <c r="S16" s="223"/>
      <c r="T16" s="224"/>
      <c r="U16" s="225"/>
      <c r="V16" s="158"/>
      <c r="W16" s="226"/>
      <c r="X16" s="227"/>
      <c r="Y16" s="228"/>
      <c r="Z16" s="229"/>
      <c r="AA16" s="230"/>
      <c r="AB16" s="231"/>
      <c r="AC16" s="232"/>
      <c r="AD16" s="233"/>
    </row>
  </sheetData>
  <mergeCells count="8">
    <mergeCell ref="F1:G1"/>
    <mergeCell ref="H1:I1"/>
    <mergeCell ref="J1:K1"/>
    <mergeCell ref="L1:M1"/>
    <mergeCell ref="N1:O1"/>
    <mergeCell ref="P1:Q1"/>
    <mergeCell ref="R1:S1"/>
    <mergeCell ref="T1:U1"/>
  </mergeCells>
  <drawing r:id="rId1"/>
</worksheet>
</file>